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d works" state="visible" r:id="rId4"/>
    <sheet sheetId="2" name="Summary" state="visible" r:id="rId5"/>
    <sheet sheetId="3" name="Source register" state="visible" r:id="rId6"/>
    <sheet sheetId="4" name="Basis" state="visible" r:id="rId7"/>
  </sheets>
  <calcPr calcId="171027" fullCalcOnLoad="1"/>
</workbook>
</file>

<file path=xl/sharedStrings.xml><?xml version="1.0" encoding="utf-8"?>
<sst xmlns="http://schemas.openxmlformats.org/spreadsheetml/2006/main" count="151" uniqueCount="83">
  <si>
    <t>SAMPLE • Published evaluation basket, not a live quotation</t>
  </si>
  <si>
    <t>Source quantities; historical reference rates; amounts calculated from rates rounded to pence.</t>
  </si>
  <si>
    <t>Item</t>
  </si>
  <si>
    <t>Description</t>
  </si>
  <si>
    <t>Qty</t>
  </si>
  <si>
    <t>Unit</t>
  </si>
  <si>
    <t>Rate (£)</t>
  </si>
  <si>
    <t>Amount (£)</t>
  </si>
  <si>
    <t>1.01</t>
  </si>
  <si>
    <t>Facade scaffolding; six-week hire</t>
  </si>
  <si>
    <t>m2</t>
  </si>
  <si>
    <t>1.02</t>
  </si>
  <si>
    <t>Tower scaffolding; maximum 10m</t>
  </si>
  <si>
    <t>nr</t>
  </si>
  <si>
    <t>2.01</t>
  </si>
  <si>
    <t>Render renewal with existing removal</t>
  </si>
  <si>
    <t>2.02</t>
  </si>
  <si>
    <t>Mechanical repointing with existing removal</t>
  </si>
  <si>
    <t>2.03</t>
  </si>
  <si>
    <t>15mm exterior plywood roof decking</t>
  </si>
  <si>
    <t>2.04</t>
  </si>
  <si>
    <t>200mm mineral-wool roof insulation</t>
  </si>
  <si>
    <t>3.01</t>
  </si>
  <si>
    <t>Kitchen renewal; six units maximum</t>
  </si>
  <si>
    <t>3.02</t>
  </si>
  <si>
    <t>WC renewal with hand basin</t>
  </si>
  <si>
    <t>4.01</t>
  </si>
  <si>
    <t>Additional double socket with box</t>
  </si>
  <si>
    <t>4.02</t>
  </si>
  <si>
    <t>Additional light switch with box</t>
  </si>
  <si>
    <t>4.03</t>
  </si>
  <si>
    <t>Additional smoke detector</t>
  </si>
  <si>
    <t>4.04</t>
  </si>
  <si>
    <t>Occupied-property electrical testing after works</t>
  </si>
  <si>
    <t/>
  </si>
  <si>
    <t>TOTAL</t>
  </si>
  <si>
    <t>SAMPLE • Section totals</t>
  </si>
  <si>
    <t>Alt. amount (£)</t>
  </si>
  <si>
    <t>Access</t>
  </si>
  <si>
    <t>Building fabric</t>
  </si>
  <si>
    <t>Renewals</t>
  </si>
  <si>
    <t>Electrical</t>
  </si>
  <si>
    <t>Section</t>
  </si>
  <si>
    <t>Source sheet</t>
  </si>
  <si>
    <t>Quantity cell</t>
  </si>
  <si>
    <t>Rate cell</t>
  </si>
  <si>
    <t>Primary source</t>
  </si>
  <si>
    <t>Alternative source</t>
  </si>
  <si>
    <t>E12</t>
  </si>
  <si>
    <t>F12</t>
  </si>
  <si>
    <t>https://www.royalgreenwich.gov.uk/download/downloads/id/6245/united_living_-_pricing_schedules.xlsx</t>
  </si>
  <si>
    <t>https://www.royalgreenwich.gov.uk/download/downloads/id/6246/axis_-_pricing_schedules.xlsx</t>
  </si>
  <si>
    <t>E15</t>
  </si>
  <si>
    <t>F15</t>
  </si>
  <si>
    <t>D5</t>
  </si>
  <si>
    <t>C5</t>
  </si>
  <si>
    <t>D7</t>
  </si>
  <si>
    <t>C7</t>
  </si>
  <si>
    <t>D4</t>
  </si>
  <si>
    <t>E4</t>
  </si>
  <si>
    <t>D9</t>
  </si>
  <si>
    <t>E9</t>
  </si>
  <si>
    <t>D8</t>
  </si>
  <si>
    <t>E8</t>
  </si>
  <si>
    <t>D25</t>
  </si>
  <si>
    <t>C25</t>
  </si>
  <si>
    <t>D27</t>
  </si>
  <si>
    <t>C27</t>
  </si>
  <si>
    <t>D36</t>
  </si>
  <si>
    <t>C36</t>
  </si>
  <si>
    <t>C4</t>
  </si>
  <si>
    <t>Purpose</t>
  </si>
  <si>
    <t>Published evaluation quantities; not measured quantities for a live project.</t>
  </si>
  <si>
    <t>Retrieved</t>
  </si>
  <si>
    <t>2026-10-10</t>
  </si>
  <si>
    <t>Calculation</t>
  </si>
  <si>
    <t>Rates rounded to pence; quantities multiplied by rates; totals calculated from item amounts.</t>
  </si>
  <si>
    <t>Use</t>
  </si>
  <si>
    <t>Historical evaluation example only. Confirm live measurements, specification, prices and taxes before tender use.</t>
  </si>
  <si>
    <t>S1</t>
  </si>
  <si>
    <t>bc0db67edeb2aa3f0c8492de952ed4381f35f0d62b3a063963b8f51cbe832492</t>
  </si>
  <si>
    <t>S2</t>
  </si>
  <si>
    <t>c854c6d35fd75945859c9a44663482c597de7fa12c7b0efeb63ae32e93fd4813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</si>
</sst>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32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2" borderId="0" xfId="0" applyFont="1" applyFill="1" applyAlignment="1">
      <alignment vertical="center" wrapText="1"/>
    </xf>
    <xf numFmtId="4" fontId="1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8" customWidth="1"/>
    <col min="3" max="3" width="12" customWidth="1"/>
    <col min="4" max="4" width="10" customWidth="1"/>
    <col min="5" max="5" width="16" style="1" customWidth="1"/>
    <col min="6" max="6" width="18" style="1" customWidth="1"/>
    <col min="7" max="7" width="16" style="1" customWidth="1"/>
    <col min="8" max="8" width="18" style="1" customWidth="1"/>
  </cols>
  <sheetData>
    <row r="1" ht="30" customHeight="1" spans="1:8" s="2" customFormat="1" x14ac:dyDescent="0.25">
      <c r="A1" s="3" t="s">
        <v>0</v>
      </c>
      <c r="B1" s="3"/>
      <c r="C1" s="3"/>
      <c r="D1" s="3"/>
      <c r="E1" s="3"/>
      <c r="F1" s="3"/>
      <c r="G1" s="3"/>
      <c r="H1" s="3"/>
    </row>
    <row r="2" ht="30" customHeight="1" spans="1:8" s="2" customFormat="1" x14ac:dyDescent="0.25">
      <c r="A2" s="3" t="s">
        <v>1</v>
      </c>
      <c r="B2" s="3"/>
      <c r="C2" s="3"/>
      <c r="D2" s="3"/>
      <c r="E2" s="3"/>
      <c r="F2" s="3"/>
      <c r="G2" s="3"/>
      <c r="H2" s="3"/>
    </row>
    <row r="4" ht="30" customHeight="1" spans="1:8" s="2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3"/>
      <c r="H4" s="3"/>
    </row>
    <row r="5" ht="30" customHeight="1" spans="1:8" s="2" customFormat="1" x14ac:dyDescent="0.25">
      <c r="A5" s="2" t="s">
        <v>8</v>
      </c>
      <c r="B5" s="2" t="s">
        <v>9</v>
      </c>
      <c r="C5" s="2">
        <v>50</v>
      </c>
      <c r="D5" s="2" t="s">
        <v>10</v>
      </c>
      <c r="E5" s="3">
        <v>51.31</v>
      </c>
      <c r="F5" s="3">
        <f>ROUND(C5*E5,2)</f>
        <v>2565.5</v>
      </c>
      <c r="G5" s="3">
        <v>35</v>
      </c>
      <c r="H5" s="3">
        <f>ROUND(C5*G5,2)</f>
        <v>1750</v>
      </c>
    </row>
    <row r="6" ht="30" customHeight="1" spans="1:8" s="2" customFormat="1" x14ac:dyDescent="0.25">
      <c r="A6" s="2" t="s">
        <v>11</v>
      </c>
      <c r="B6" s="2" t="s">
        <v>12</v>
      </c>
      <c r="C6" s="2">
        <v>2</v>
      </c>
      <c r="D6" s="2" t="s">
        <v>13</v>
      </c>
      <c r="E6" s="3">
        <v>996.7</v>
      </c>
      <c r="F6" s="3">
        <f>ROUND(C6*E6,2)</f>
        <v>1993.4</v>
      </c>
      <c r="G6" s="3">
        <v>250</v>
      </c>
      <c r="H6" s="3">
        <f>ROUND(C6*G6,2)</f>
        <v>500</v>
      </c>
    </row>
    <row r="7" ht="30" customHeight="1" spans="1:8" s="2" customFormat="1" x14ac:dyDescent="0.25">
      <c r="A7" s="2" t="s">
        <v>14</v>
      </c>
      <c r="B7" s="2" t="s">
        <v>15</v>
      </c>
      <c r="C7" s="2">
        <v>200</v>
      </c>
      <c r="D7" s="2" t="s">
        <v>10</v>
      </c>
      <c r="E7" s="3">
        <v>132.89</v>
      </c>
      <c r="F7" s="3">
        <f>ROUND(C7*E7,2)</f>
        <v>26578</v>
      </c>
      <c r="G7" s="3">
        <v>38</v>
      </c>
      <c r="H7" s="3">
        <f>ROUND(C7*G7,2)</f>
        <v>7600</v>
      </c>
    </row>
    <row r="8" ht="30" customHeight="1" spans="1:8" s="2" customFormat="1" x14ac:dyDescent="0.25">
      <c r="A8" s="2" t="s">
        <v>16</v>
      </c>
      <c r="B8" s="2" t="s">
        <v>17</v>
      </c>
      <c r="C8" s="2">
        <v>100</v>
      </c>
      <c r="D8" s="2" t="s">
        <v>10</v>
      </c>
      <c r="E8" s="3">
        <v>57.14</v>
      </c>
      <c r="F8" s="3">
        <f>ROUND(C8*E8,2)</f>
        <v>5714</v>
      </c>
      <c r="G8" s="3">
        <v>38</v>
      </c>
      <c r="H8" s="3">
        <f>ROUND(C8*G8,2)</f>
        <v>3800</v>
      </c>
    </row>
    <row r="9" ht="30" customHeight="1" spans="1:8" s="2" customFormat="1" x14ac:dyDescent="0.25">
      <c r="A9" s="2" t="s">
        <v>18</v>
      </c>
      <c r="B9" s="2" t="s">
        <v>19</v>
      </c>
      <c r="C9" s="2">
        <v>50</v>
      </c>
      <c r="D9" s="2" t="s">
        <v>10</v>
      </c>
      <c r="E9" s="3">
        <v>58.45</v>
      </c>
      <c r="F9" s="3">
        <f>ROUND(C9*E9,2)</f>
        <v>2922.5</v>
      </c>
      <c r="G9" s="3">
        <v>53.33</v>
      </c>
      <c r="H9" s="3">
        <f>ROUND(C9*G9,2)</f>
        <v>2666.5</v>
      </c>
    </row>
    <row r="10" ht="30" customHeight="1" spans="1:8" s="2" customFormat="1" x14ac:dyDescent="0.25">
      <c r="A10" s="2" t="s">
        <v>20</v>
      </c>
      <c r="B10" s="2" t="s">
        <v>21</v>
      </c>
      <c r="C10" s="2">
        <v>25</v>
      </c>
      <c r="D10" s="2" t="s">
        <v>10</v>
      </c>
      <c r="E10" s="3">
        <v>26.58</v>
      </c>
      <c r="F10" s="3">
        <f>ROUND(C10*E10,2)</f>
        <v>664.5</v>
      </c>
      <c r="G10" s="3">
        <v>27.5</v>
      </c>
      <c r="H10" s="3">
        <f>ROUND(C10*G10,2)</f>
        <v>687.5</v>
      </c>
    </row>
    <row r="11" ht="30" customHeight="1" spans="1:8" s="2" customFormat="1" x14ac:dyDescent="0.25">
      <c r="A11" s="2" t="s">
        <v>22</v>
      </c>
      <c r="B11" s="2" t="s">
        <v>23</v>
      </c>
      <c r="C11" s="2">
        <v>10</v>
      </c>
      <c r="D11" s="2" t="s">
        <v>13</v>
      </c>
      <c r="E11" s="3">
        <v>7020.84</v>
      </c>
      <c r="F11" s="3">
        <f>ROUND(C11*E11,2)</f>
        <v>70208.4</v>
      </c>
      <c r="G11" s="3">
        <v>4920</v>
      </c>
      <c r="H11" s="3">
        <f>ROUND(C11*G11,2)</f>
        <v>49200</v>
      </c>
    </row>
    <row r="12" ht="30" customHeight="1" spans="1:8" s="2" customFormat="1" x14ac:dyDescent="0.25">
      <c r="A12" s="2" t="s">
        <v>24</v>
      </c>
      <c r="B12" s="2" t="s">
        <v>25</v>
      </c>
      <c r="C12" s="2">
        <v>5</v>
      </c>
      <c r="D12" s="2" t="s">
        <v>13</v>
      </c>
      <c r="E12" s="3">
        <v>1888.2</v>
      </c>
      <c r="F12" s="3">
        <f>ROUND(C12*E12,2)</f>
        <v>9441</v>
      </c>
      <c r="G12" s="3">
        <v>590</v>
      </c>
      <c r="H12" s="3">
        <f>ROUND(C12*G12,2)</f>
        <v>2950</v>
      </c>
    </row>
    <row r="13" ht="30" customHeight="1" spans="1:8" s="2" customFormat="1" x14ac:dyDescent="0.25">
      <c r="A13" s="2" t="s">
        <v>26</v>
      </c>
      <c r="B13" s="2" t="s">
        <v>27</v>
      </c>
      <c r="C13" s="2">
        <v>10</v>
      </c>
      <c r="D13" s="2" t="s">
        <v>13</v>
      </c>
      <c r="E13" s="3">
        <v>76.11</v>
      </c>
      <c r="F13" s="3">
        <f>ROUND(C13*E13,2)</f>
        <v>761.1</v>
      </c>
      <c r="G13" s="3">
        <v>105</v>
      </c>
      <c r="H13" s="3">
        <f>ROUND(C13*G13,2)</f>
        <v>1050</v>
      </c>
    </row>
    <row r="14" ht="30" customHeight="1" spans="1:8" s="2" customFormat="1" x14ac:dyDescent="0.25">
      <c r="A14" s="2" t="s">
        <v>28</v>
      </c>
      <c r="B14" s="2" t="s">
        <v>29</v>
      </c>
      <c r="C14" s="2">
        <v>10</v>
      </c>
      <c r="D14" s="2" t="s">
        <v>13</v>
      </c>
      <c r="E14" s="3">
        <v>16.49</v>
      </c>
      <c r="F14" s="3">
        <f>ROUND(C14*E14,2)</f>
        <v>164.9</v>
      </c>
      <c r="G14" s="3">
        <v>24</v>
      </c>
      <c r="H14" s="3">
        <f>ROUND(C14*G14,2)</f>
        <v>240</v>
      </c>
    </row>
    <row r="15" ht="30" customHeight="1" spans="1:8" s="2" customFormat="1" x14ac:dyDescent="0.25">
      <c r="A15" s="2" t="s">
        <v>30</v>
      </c>
      <c r="B15" s="2" t="s">
        <v>31</v>
      </c>
      <c r="C15" s="2">
        <v>20</v>
      </c>
      <c r="D15" s="2" t="s">
        <v>13</v>
      </c>
      <c r="E15" s="3">
        <v>164.91</v>
      </c>
      <c r="F15" s="3">
        <f>ROUND(C15*E15,2)</f>
        <v>3298.2</v>
      </c>
      <c r="G15" s="3">
        <v>82.04</v>
      </c>
      <c r="H15" s="3">
        <f>ROUND(C15*G15,2)</f>
        <v>1640.8</v>
      </c>
    </row>
    <row r="16" ht="30" customHeight="1" spans="1:8" s="2" customFormat="1" x14ac:dyDescent="0.25">
      <c r="A16" s="2" t="s">
        <v>32</v>
      </c>
      <c r="B16" s="2" t="s">
        <v>33</v>
      </c>
      <c r="C16" s="2">
        <v>20</v>
      </c>
      <c r="D16" s="2" t="s">
        <v>13</v>
      </c>
      <c r="E16" s="3">
        <v>164.91</v>
      </c>
      <c r="F16" s="3">
        <f>ROUND(C16*E16,2)</f>
        <v>3298.2</v>
      </c>
      <c r="G16" s="3">
        <v>200</v>
      </c>
      <c r="H16" s="3">
        <f>ROUND(C16*G16,2)</f>
        <v>4000</v>
      </c>
    </row>
    <row r="17" ht="30" customHeight="1" spans="1:8" s="6" customFormat="1" x14ac:dyDescent="0.25">
      <c r="A17" s="6" t="s">
        <v>34</v>
      </c>
      <c r="B17" s="6" t="s">
        <v>35</v>
      </c>
      <c r="C17" s="6" t="s">
        <v>34</v>
      </c>
      <c r="D17" s="6" t="s">
        <v>34</v>
      </c>
      <c r="E17" s="7" t="s">
        <v>34</v>
      </c>
      <c r="F17" s="7">
        <f>SUM(F5:F16)</f>
        <v>127609.7</v>
      </c>
      <c r="G17" s="7" t="s">
        <v>34</v>
      </c>
      <c r="H17" s="7">
        <f>SUM(H5:H16)</f>
        <v>76084.8</v>
      </c>
    </row>
  </sheetData>
  <mergeCells count="2">
    <mergeCell ref="A1:H1"/>
    <mergeCell ref="A2:H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FormatPr defaultRowHeight="15" outlineLevelRow="0" outlineLevelCol="0" x14ac:dyDescent="55"/>
  <cols>
    <col min="1" max="1" width="40" customWidth="1"/>
    <col min="2" max="3" width="22" style="1" customWidth="1"/>
  </cols>
  <sheetData>
    <row r="1" ht="30" customHeight="1" spans="1:3" s="2" customFormat="1" x14ac:dyDescent="0.25">
      <c r="A1" s="4" t="s">
        <v>36</v>
      </c>
      <c r="B1" s="5" t="s">
        <v>7</v>
      </c>
      <c r="C1" s="5" t="s">
        <v>37</v>
      </c>
    </row>
    <row r="2" ht="30" customHeight="1" spans="1:3" s="2" customFormat="1" x14ac:dyDescent="0.25">
      <c r="A2" s="2" t="s">
        <v>38</v>
      </c>
      <c r="B2" s="3">
        <f>'Priced works'!F5+'Priced works'!F6</f>
        <v>4558.9</v>
      </c>
      <c r="C2" s="3">
        <f>'Priced works'!H5+'Priced works'!H6</f>
        <v>2250</v>
      </c>
    </row>
    <row r="3" ht="30" customHeight="1" spans="1:3" s="2" customFormat="1" x14ac:dyDescent="0.25">
      <c r="A3" s="2" t="s">
        <v>39</v>
      </c>
      <c r="B3" s="3">
        <f>'Priced works'!F7+'Priced works'!F8+'Priced works'!F9+'Priced works'!F10</f>
        <v>35879</v>
      </c>
      <c r="C3" s="3">
        <f>'Priced works'!H7+'Priced works'!H8+'Priced works'!H9+'Priced works'!H10</f>
        <v>14754</v>
      </c>
    </row>
    <row r="4" ht="30" customHeight="1" spans="1:3" s="2" customFormat="1" x14ac:dyDescent="0.25">
      <c r="A4" s="2" t="s">
        <v>40</v>
      </c>
      <c r="B4" s="3">
        <f>'Priced works'!F11+'Priced works'!F12</f>
        <v>79649.4</v>
      </c>
      <c r="C4" s="3">
        <f>'Priced works'!H11+'Priced works'!H12</f>
        <v>52150</v>
      </c>
    </row>
    <row r="5" ht="30" customHeight="1" spans="1:3" s="2" customFormat="1" x14ac:dyDescent="0.25">
      <c r="A5" s="2" t="s">
        <v>41</v>
      </c>
      <c r="B5" s="3">
        <f>'Priced works'!F13+'Priced works'!F14+'Priced works'!F15+'Priced works'!F16</f>
        <v>7522.4</v>
      </c>
      <c r="C5" s="3">
        <f>'Priced works'!H13+'Priced works'!H14+'Priced works'!H15+'Priced works'!H16</f>
        <v>6930.8</v>
      </c>
    </row>
    <row r="6" ht="30" customHeight="1" spans="1:3" s="2" customFormat="1" x14ac:dyDescent="0.25">
      <c r="A6" s="2" t="s">
        <v>35</v>
      </c>
      <c r="B6" s="3">
        <f>SUM(B2:B5)</f>
        <v>127609.7</v>
      </c>
      <c r="C6" s="3">
        <f>SUM(C2:C5)</f>
        <v>76084.8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FormatPr defaultRowHeight="15" outlineLevelRow="0" outlineLevelCol="0" x14ac:dyDescent="55"/>
  <cols>
    <col min="1" max="5" width="20" customWidth="1"/>
    <col min="6" max="7" width="50" customWidth="1"/>
  </cols>
  <sheetData>
    <row r="1" ht="30" customHeight="1" spans="1:7" s="2" customFormat="1" x14ac:dyDescent="0.25">
      <c r="A1" s="4" t="s">
        <v>2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</row>
    <row r="2" ht="30" customHeight="1" spans="1:7" s="2" customFormat="1" x14ac:dyDescent="0.25">
      <c r="A2" s="2" t="s">
        <v>8</v>
      </c>
      <c r="B2" s="2" t="s">
        <v>38</v>
      </c>
      <c r="C2" s="2">
        <v>27</v>
      </c>
      <c r="D2" s="2" t="s">
        <v>48</v>
      </c>
      <c r="E2" s="2" t="s">
        <v>49</v>
      </c>
      <c r="F2" s="2" t="s">
        <v>50</v>
      </c>
      <c r="G2" s="2" t="s">
        <v>51</v>
      </c>
    </row>
    <row r="3" ht="30" customHeight="1" spans="1:7" s="2" customFormat="1" x14ac:dyDescent="0.25">
      <c r="A3" s="2" t="s">
        <v>11</v>
      </c>
      <c r="B3" s="2" t="s">
        <v>38</v>
      </c>
      <c r="C3" s="2">
        <v>27</v>
      </c>
      <c r="D3" s="2" t="s">
        <v>52</v>
      </c>
      <c r="E3" s="2" t="s">
        <v>53</v>
      </c>
      <c r="F3" s="2" t="s">
        <v>50</v>
      </c>
      <c r="G3" s="2" t="s">
        <v>51</v>
      </c>
    </row>
    <row r="4" ht="30" customHeight="1" spans="1:7" s="2" customFormat="1" x14ac:dyDescent="0.25">
      <c r="A4" s="2" t="s">
        <v>14</v>
      </c>
      <c r="B4" s="2" t="s">
        <v>39</v>
      </c>
      <c r="C4" s="2">
        <v>2</v>
      </c>
      <c r="D4" s="2" t="s">
        <v>54</v>
      </c>
      <c r="E4" s="2" t="s">
        <v>55</v>
      </c>
      <c r="F4" s="2" t="s">
        <v>50</v>
      </c>
      <c r="G4" s="2" t="s">
        <v>51</v>
      </c>
    </row>
    <row r="5" ht="30" customHeight="1" spans="1:7" s="2" customFormat="1" x14ac:dyDescent="0.25">
      <c r="A5" s="2" t="s">
        <v>16</v>
      </c>
      <c r="B5" s="2" t="s">
        <v>39</v>
      </c>
      <c r="C5" s="2">
        <v>2</v>
      </c>
      <c r="D5" s="2" t="s">
        <v>56</v>
      </c>
      <c r="E5" s="2" t="s">
        <v>57</v>
      </c>
      <c r="F5" s="2" t="s">
        <v>50</v>
      </c>
      <c r="G5" s="2" t="s">
        <v>51</v>
      </c>
    </row>
    <row r="6" ht="30" customHeight="1" spans="1:7" s="2" customFormat="1" x14ac:dyDescent="0.25">
      <c r="A6" s="2" t="s">
        <v>18</v>
      </c>
      <c r="B6" s="2" t="s">
        <v>39</v>
      </c>
      <c r="C6" s="2">
        <v>18</v>
      </c>
      <c r="D6" s="2" t="s">
        <v>58</v>
      </c>
      <c r="E6" s="2" t="s">
        <v>59</v>
      </c>
      <c r="F6" s="2" t="s">
        <v>50</v>
      </c>
      <c r="G6" s="2" t="s">
        <v>51</v>
      </c>
    </row>
    <row r="7" ht="30" customHeight="1" spans="1:7" s="2" customFormat="1" x14ac:dyDescent="0.25">
      <c r="A7" s="2" t="s">
        <v>20</v>
      </c>
      <c r="B7" s="2" t="s">
        <v>39</v>
      </c>
      <c r="C7" s="2">
        <v>18</v>
      </c>
      <c r="D7" s="2" t="s">
        <v>60</v>
      </c>
      <c r="E7" s="2" t="s">
        <v>61</v>
      </c>
      <c r="F7" s="2" t="s">
        <v>50</v>
      </c>
      <c r="G7" s="2" t="s">
        <v>51</v>
      </c>
    </row>
    <row r="8" ht="30" customHeight="1" spans="1:7" s="2" customFormat="1" x14ac:dyDescent="0.25">
      <c r="A8" s="2" t="s">
        <v>22</v>
      </c>
      <c r="B8" s="2" t="s">
        <v>40</v>
      </c>
      <c r="C8" s="2">
        <v>7</v>
      </c>
      <c r="D8" s="2" t="s">
        <v>58</v>
      </c>
      <c r="E8" s="2" t="s">
        <v>59</v>
      </c>
      <c r="F8" s="2" t="s">
        <v>50</v>
      </c>
      <c r="G8" s="2" t="s">
        <v>51</v>
      </c>
    </row>
    <row r="9" ht="30" customHeight="1" spans="1:7" s="2" customFormat="1" x14ac:dyDescent="0.25">
      <c r="A9" s="2" t="s">
        <v>24</v>
      </c>
      <c r="B9" s="2" t="s">
        <v>40</v>
      </c>
      <c r="C9" s="2">
        <v>8</v>
      </c>
      <c r="D9" s="2" t="s">
        <v>62</v>
      </c>
      <c r="E9" s="2" t="s">
        <v>63</v>
      </c>
      <c r="F9" s="2" t="s">
        <v>50</v>
      </c>
      <c r="G9" s="2" t="s">
        <v>51</v>
      </c>
    </row>
    <row r="10" ht="30" customHeight="1" spans="1:7" s="2" customFormat="1" x14ac:dyDescent="0.25">
      <c r="A10" s="2" t="s">
        <v>26</v>
      </c>
      <c r="B10" s="2" t="s">
        <v>41</v>
      </c>
      <c r="C10" s="2">
        <v>19</v>
      </c>
      <c r="D10" s="2" t="s">
        <v>64</v>
      </c>
      <c r="E10" s="2" t="s">
        <v>65</v>
      </c>
      <c r="F10" s="2" t="s">
        <v>50</v>
      </c>
      <c r="G10" s="2" t="s">
        <v>51</v>
      </c>
    </row>
    <row r="11" ht="30" customHeight="1" spans="1:7" s="2" customFormat="1" x14ac:dyDescent="0.25">
      <c r="A11" s="2" t="s">
        <v>28</v>
      </c>
      <c r="B11" s="2" t="s">
        <v>41</v>
      </c>
      <c r="C11" s="2">
        <v>19</v>
      </c>
      <c r="D11" s="2" t="s">
        <v>66</v>
      </c>
      <c r="E11" s="2" t="s">
        <v>67</v>
      </c>
      <c r="F11" s="2" t="s">
        <v>50</v>
      </c>
      <c r="G11" s="2" t="s">
        <v>51</v>
      </c>
    </row>
    <row r="12" ht="30" customHeight="1" spans="1:7" s="2" customFormat="1" x14ac:dyDescent="0.25">
      <c r="A12" s="2" t="s">
        <v>30</v>
      </c>
      <c r="B12" s="2" t="s">
        <v>41</v>
      </c>
      <c r="C12" s="2">
        <v>19</v>
      </c>
      <c r="D12" s="2" t="s">
        <v>68</v>
      </c>
      <c r="E12" s="2" t="s">
        <v>69</v>
      </c>
      <c r="F12" s="2" t="s">
        <v>50</v>
      </c>
      <c r="G12" s="2" t="s">
        <v>51</v>
      </c>
    </row>
    <row r="13" ht="30" customHeight="1" spans="1:7" s="2" customFormat="1" x14ac:dyDescent="0.25">
      <c r="A13" s="2" t="s">
        <v>32</v>
      </c>
      <c r="B13" s="2" t="s">
        <v>41</v>
      </c>
      <c r="C13" s="2">
        <v>20</v>
      </c>
      <c r="D13" s="2" t="s">
        <v>58</v>
      </c>
      <c r="E13" s="2" t="s">
        <v>70</v>
      </c>
      <c r="F13" s="2" t="s">
        <v>50</v>
      </c>
      <c r="G13" s="2" t="s">
        <v>51</v>
      </c>
    </row>
  </sheetData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FormatPr defaultRowHeight="15" outlineLevelRow="0" outlineLevelCol="0" x14ac:dyDescent="55"/>
  <cols>
    <col min="1" max="1" width="20" customWidth="1"/>
    <col min="2" max="3" width="95" customWidth="1"/>
  </cols>
  <sheetData>
    <row r="1" ht="30" customHeight="1" spans="1:2" s="2" customFormat="1" x14ac:dyDescent="0.25">
      <c r="A1" s="2" t="s">
        <v>71</v>
      </c>
      <c r="B1" s="2" t="s">
        <v>72</v>
      </c>
    </row>
    <row r="2" ht="30" customHeight="1" spans="1:2" s="2" customFormat="1" x14ac:dyDescent="0.25">
      <c r="A2" s="2" t="s">
        <v>73</v>
      </c>
      <c r="B2" s="2" t="s">
        <v>74</v>
      </c>
    </row>
    <row r="3" ht="30" customHeight="1" spans="1:2" s="2" customFormat="1" x14ac:dyDescent="0.25">
      <c r="A3" s="2" t="s">
        <v>75</v>
      </c>
      <c r="B3" s="2" t="s">
        <v>76</v>
      </c>
    </row>
    <row r="4" ht="30" customHeight="1" spans="1:2" s="2" customFormat="1" x14ac:dyDescent="0.25">
      <c r="A4" s="2" t="s">
        <v>77</v>
      </c>
      <c r="B4" s="2" t="s">
        <v>78</v>
      </c>
    </row>
    <row r="5" ht="30" customHeight="1" spans="1:3" s="2" customFormat="1" x14ac:dyDescent="0.25">
      <c r="A5" s="2" t="s">
        <v>79</v>
      </c>
      <c r="B5" s="2" t="s">
        <v>50</v>
      </c>
      <c r="C5" s="2" t="s">
        <v>80</v>
      </c>
    </row>
    <row r="6" ht="30" customHeight="1" spans="1:3" s="2" customFormat="1" x14ac:dyDescent="0.25">
      <c r="A6" s="2" t="s">
        <v>81</v>
      </c>
      <c r="B6" s="2" t="s">
        <v>51</v>
      </c>
      <c r="C6" s="2" t="s">
        <v>82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Priced works</vt:lpstr>
      <vt:lpstr>Summary</vt:lpstr>
      <vt:lpstr>Source register</vt:lpstr>
      <vt:lpstr>Basis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Sample priced Bill of Quantities</dc:title>
  <dc:subject/>
  <dc:description/>
  <cp:keywords/>
  <cp:category/>
  <cp:lastModifiedBy>Unknown</cp:lastModifiedBy>
  <dcterms:created xsi:type="dcterms:W3CDTF">2026-10-12T19:13:21Z</dcterms:created>
  <dcterms:modified xsi:type="dcterms:W3CDTF">2026-10-12T19:13:21Z</dcterms:modified>
</cp:coreProperties>
</file>