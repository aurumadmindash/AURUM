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uilding works" state="visible" r:id="rId4"/>
    <sheet sheetId="2" name="External works" state="visible" r:id="rId5"/>
    <sheet sheetId="3" name="Summary" state="visible" r:id="rId6"/>
    <sheet sheetId="4" name="Quantity basis" state="visible" r:id="rId7"/>
  </sheets>
  <definedNames>
    <definedName name="_xlnm.Print_Titles" localSheetId="0">'Building works'!$1:$1</definedName>
    <definedName name="_xlnm.Print_Titles" localSheetId="1">'External works'!$1:$1</definedName>
    <definedName name="_xlnm.Print_Titles" localSheetId="2">'Summary'!$1:$1</definedName>
  </definedNames>
  <calcPr calcId="171027" fullCalcOnLoad="1"/>
</workbook>
</file>

<file path=xl/sharedStrings.xml><?xml version="1.0" encoding="utf-8"?>
<sst xmlns="http://schemas.openxmlformats.org/spreadsheetml/2006/main" count="839" uniqueCount="469">
  <si>
    <t>Item</t>
  </si>
  <si>
    <t>Description</t>
  </si>
  <si>
    <t>Qty</t>
  </si>
  <si>
    <t/>
  </si>
  <si>
    <t>Unit</t>
  </si>
  <si>
    <t>Rate (£)</t>
  </si>
  <si>
    <t>Amount (£)</t>
  </si>
  <si>
    <t xml:space="preserve">              k</t>
  </si>
  <si>
    <t xml:space="preserve">     N                          k</t>
  </si>
  <si>
    <t>SAMPLE FIVE-DWELLING DEVELOPMENT - MODELLED QUANTITIES; SUPPLIED GBP RATES</t>
  </si>
  <si>
    <t>BILL Nr 2 - 5 UNITS - 2BEDROOM BUILDING</t>
  </si>
  <si>
    <t>SUBSTRUCTURES   (All Provisional)</t>
  </si>
  <si>
    <t>A</t>
  </si>
  <si>
    <t>Excavate to reduce level</t>
  </si>
  <si>
    <t>CM</t>
  </si>
  <si>
    <t>B</t>
  </si>
  <si>
    <t>Excavate trench foundations</t>
  </si>
  <si>
    <t>C</t>
  </si>
  <si>
    <t>Excavate column bases</t>
  </si>
  <si>
    <t>D</t>
  </si>
  <si>
    <t>Return fill and ram excavated material around walls and foundations</t>
  </si>
  <si>
    <t>E</t>
  </si>
  <si>
    <t>Load up excavated material and cart away from site.</t>
  </si>
  <si>
    <t>F</t>
  </si>
  <si>
    <t>Approved laterite filling in making up levels well rammed and consolidated in 200mm layers</t>
  </si>
  <si>
    <t>G</t>
  </si>
  <si>
    <t>Heavy duty polythene sheeting well lapped and laying over filling</t>
  </si>
  <si>
    <t>SM</t>
  </si>
  <si>
    <t xml:space="preserve">Plain insitu concrete (1:8) blinding bed </t>
  </si>
  <si>
    <t>H</t>
  </si>
  <si>
    <t>40mm Blinding bed</t>
  </si>
  <si>
    <t>J</t>
  </si>
  <si>
    <t>Plain insitu concrete (Grade 20) in trench foundations</t>
  </si>
  <si>
    <t xml:space="preserve">In-situ reinforced concrete (Grade 20) </t>
  </si>
  <si>
    <t>K</t>
  </si>
  <si>
    <t>Column bases</t>
  </si>
  <si>
    <t>L</t>
  </si>
  <si>
    <t>Column</t>
  </si>
  <si>
    <t>M</t>
  </si>
  <si>
    <t>Ground floor slab</t>
  </si>
  <si>
    <t>PAGE 2/1   TO COLLECTION</t>
  </si>
  <si>
    <t>Formwork</t>
  </si>
  <si>
    <t>Sides of column base</t>
  </si>
  <si>
    <t>Sides of column and beds</t>
  </si>
  <si>
    <t>Reinforcement quantities are provisional allowances; see Quantity basis.</t>
  </si>
  <si>
    <t>High tensile steel reinforcement (design stress</t>
  </si>
  <si>
    <t>412N/mm2) in bases and columns</t>
  </si>
  <si>
    <t>12mm Diameter reinforcement</t>
  </si>
  <si>
    <t>Kg</t>
  </si>
  <si>
    <t>16mm Diameter reinforcement</t>
  </si>
  <si>
    <t>20mm Diameter reinforcement</t>
  </si>
  <si>
    <t>10mm Diamter links</t>
  </si>
  <si>
    <t>Steel mesh reinforcement ref A142 in bed well lapped (measured nett)</t>
  </si>
  <si>
    <t>230mm Hollow blockwork in cement mortar and filled solid with concrete (Grade 15)</t>
  </si>
  <si>
    <t>Provide a Sum for additional foundations to be expended as directed</t>
  </si>
  <si>
    <t>sum</t>
  </si>
  <si>
    <t>PAGE 2/2       TO COLLECTION</t>
  </si>
  <si>
    <t>SUBSTRUCTURE</t>
  </si>
  <si>
    <t>Collection</t>
  </si>
  <si>
    <t>Page 2/1</t>
  </si>
  <si>
    <t>Page 2/2</t>
  </si>
  <si>
    <t>SUBSTRUCTURE             PAGE  2/3 TO SUMMARY</t>
  </si>
  <si>
    <t>STRUCTURE</t>
  </si>
  <si>
    <t>Reinforced in-situ concrete (Grade 20)</t>
  </si>
  <si>
    <t>Columns</t>
  </si>
  <si>
    <t>Floor beams</t>
  </si>
  <si>
    <t>Roof beams</t>
  </si>
  <si>
    <t>Staircase</t>
  </si>
  <si>
    <t>Lintel</t>
  </si>
  <si>
    <t>Suspended floor slab</t>
  </si>
  <si>
    <t>Sides of column</t>
  </si>
  <si>
    <t>Sides and soffit of floor beams</t>
  </si>
  <si>
    <t>Sides and soffit of roof  beams</t>
  </si>
  <si>
    <t>Sides and soffit of lintel</t>
  </si>
  <si>
    <t>N</t>
  </si>
  <si>
    <t>Soffit of suspended slab</t>
  </si>
  <si>
    <t>O</t>
  </si>
  <si>
    <t>Sides and sloping soffit of staircase</t>
  </si>
  <si>
    <t>PAGE 2/4       TO COLLECTION</t>
  </si>
  <si>
    <t>412N/mm2) in columns beams and slabs</t>
  </si>
  <si>
    <t>16mm Ditto</t>
  </si>
  <si>
    <t>10mm Diameter reinforcement</t>
  </si>
  <si>
    <t>Precast concrete (Grade 20) cast in convenient lengths and bedded and jointed in cement mortar finished fair all round</t>
  </si>
  <si>
    <t xml:space="preserve">Window cill size 75 x 280mm wide weathered and throated </t>
  </si>
  <si>
    <t>Lintel 230 x 150mm reinforced with and including four 12mm diameter  bars and 8mm links at 200mm centres</t>
  </si>
  <si>
    <t>PAGE 2/5   TO COLLECTION</t>
  </si>
  <si>
    <t>STRUCTURE   COLLECTION</t>
  </si>
  <si>
    <t>PAGE  2/4</t>
  </si>
  <si>
    <t>PAGE  2/5</t>
  </si>
  <si>
    <t>STRUCTURE                   PAGE 2/6   TO SUMMARY</t>
  </si>
  <si>
    <t>ROOFS</t>
  </si>
  <si>
    <t>0.7mm Corrugated aluminium roof sheeting (colour coated on one side) and accessories with corrugation side laps and fixing with aluminium hook bolts and nylon washers and caps and seam bolts and washers and well lapped in accordance with manufacturer's instructions (measured nett)</t>
  </si>
  <si>
    <t>Roof sheeting to slope</t>
  </si>
  <si>
    <t>0.7mm Flat aluminium accessories with 100mm laps</t>
  </si>
  <si>
    <t>fixed with seam bolts and plugged and screwed</t>
  </si>
  <si>
    <t>Ridge piece 600mm girth</t>
  </si>
  <si>
    <t>Eaves angle piece 300mm girth</t>
  </si>
  <si>
    <t>Flashing 600mm girth once bent</t>
  </si>
  <si>
    <t>Capping 450mmm girth twice bent</t>
  </si>
  <si>
    <t>Approved treated sawn hardwood members framed and nailed together as detailed</t>
  </si>
  <si>
    <t>75 x 100mm Wall plate</t>
  </si>
  <si>
    <t>50 x 150mm Rafters</t>
  </si>
  <si>
    <t>50 x 150mm Tie beams</t>
  </si>
  <si>
    <t>50 x 150mm Struts</t>
  </si>
  <si>
    <t>50 x 75mm Purlins</t>
  </si>
  <si>
    <t>50 x 50mm Noggins</t>
  </si>
  <si>
    <t>PAGE  2/7            TO COLLECTION</t>
  </si>
  <si>
    <t>18 x 350mm Wrought hardwood fascia well seasoned and treated and primed and painted two coats gloss</t>
  </si>
  <si>
    <t>Pergola size 3000 x 1500mm on plan comprising 50 x 100mm well seasoned and treated wrought hardwood members spaced 150mm apart both ways and well framed together and screwed to and including steel brackets plugged and screwed to wall and primed and painted two coats gloss</t>
  </si>
  <si>
    <t>Nr</t>
  </si>
  <si>
    <t>PAGE  2/8            TO COLLECTION</t>
  </si>
  <si>
    <t>ROOFS (Contd.)</t>
  </si>
  <si>
    <t>Page 2/7</t>
  </si>
  <si>
    <t>Page 2/8</t>
  </si>
  <si>
    <t>ROOFS                    PAGE  2/9   TO SUMMARY</t>
  </si>
  <si>
    <t>EXTERNAL CLADDING &amp; AND INTERNAL PARTITIONS</t>
  </si>
  <si>
    <t>Hollow blockwalling in cement mortar</t>
  </si>
  <si>
    <t>230mm Wall</t>
  </si>
  <si>
    <t>150mm Ditto</t>
  </si>
  <si>
    <t xml:space="preserve">Powder coated aluminium doors and  windows complete with tinted glass and  insect screens and all accessories screwed to and including metal subframes built into blockwork and pointing all round in silicone mastic </t>
  </si>
  <si>
    <t xml:space="preserve">Projected window size 900 x 900mm high overall </t>
  </si>
  <si>
    <t xml:space="preserve">Projected window size 900 x 1200mm high overall </t>
  </si>
  <si>
    <t xml:space="preserve">Sliding window size 2300 x 1200mm high overall </t>
  </si>
  <si>
    <t>Casement size 1200 x 1200mm high</t>
  </si>
  <si>
    <t>Casement size 1500 x 1200mm high</t>
  </si>
  <si>
    <t>PAGE   2/10   TO COLLECTION</t>
  </si>
  <si>
    <t>Proprietary metal security entrance door size 1200 x 2175mm overall complete with spy hole frame and all ironmongery and built into wall</t>
  </si>
  <si>
    <t>Proprietary metal security entrance door size 900 x 2175mm overall complete with spy hole frame and all ironmongery and built into wall</t>
  </si>
  <si>
    <t>Garage door size 2500 x 2000mm high comprising galvanised sheet metal roller shutters complete with all accessories</t>
  </si>
  <si>
    <t>Hardwood solid core flush door covered both sides with veneered plywood and hung on and including 75 x 230mm hardwood door lining rebated and covered both edges with 25 x 50mm splayed architrave and including hinges locks and other ironmongery</t>
  </si>
  <si>
    <t>Door and lining size 900 x2100mm high overall</t>
  </si>
  <si>
    <t>Ditto size 750 x 2100mm high overall</t>
  </si>
  <si>
    <t>Prepare and apply polish to approval on hardwood doors and lining</t>
  </si>
  <si>
    <t>PAGE   2/11   TO COLLECTION</t>
  </si>
  <si>
    <t>EXTERNAL CLADDING &amp; INTERNAL PARTITIONS</t>
  </si>
  <si>
    <t>Page 2/10</t>
  </si>
  <si>
    <t>Page 2/11</t>
  </si>
  <si>
    <t>PAGE   2/12   TO SUMMARY</t>
  </si>
  <si>
    <t>FITTINGS</t>
  </si>
  <si>
    <t>Provide a Sum for Staircase baluatrades and handrails to balconies to be expended as directed</t>
  </si>
  <si>
    <t>Provide a Sum for Kitchen Cabinets to be expended as directed</t>
  </si>
  <si>
    <t>Provide a Sum for Wardrobes, Walk-in Closets and Stores to be expended as directed</t>
  </si>
  <si>
    <t>Provide a Sum for burglar proofing  to be expended as directed</t>
  </si>
  <si>
    <t>Provide a Sum for Duct cover to be expended as directed</t>
  </si>
  <si>
    <t xml:space="preserve"> </t>
  </si>
  <si>
    <t>FITTINGS                 PAGE  2/ 13  TO SUMMARY</t>
  </si>
  <si>
    <t>FINISHES</t>
  </si>
  <si>
    <t>Wall Finishes</t>
  </si>
  <si>
    <t>Smooth internal rendering including narrow widths</t>
  </si>
  <si>
    <t>Walls</t>
  </si>
  <si>
    <t>Concrete soffits</t>
  </si>
  <si>
    <t xml:space="preserve">POP (gypsum plaster) screeding </t>
  </si>
  <si>
    <t>Rendered walls</t>
  </si>
  <si>
    <t xml:space="preserve">Rendered soffits </t>
  </si>
  <si>
    <t>Prepare and apply primer and one finishing coats of Dulux high quality emulsion</t>
  </si>
  <si>
    <t>POP and rendered  walls</t>
  </si>
  <si>
    <t>POP and rendered concrete soffits</t>
  </si>
  <si>
    <t>Smooth external rendering on walls  including narrow widths</t>
  </si>
  <si>
    <t>Prepare and apply high quality Texcote paint on rendered walls externally</t>
  </si>
  <si>
    <t>200 x 200 x 4mm Ceramic wall tiles PC £2,000/m2  bedded and jointed in cement mortar and pointed in coloured cement to match including narrow widths</t>
  </si>
  <si>
    <t>PAGE  2/14  TO  COLLECTION</t>
  </si>
  <si>
    <t>Floor Finishes</t>
  </si>
  <si>
    <t>300 x 300 x 6mm Light grey vitrified ceramic floor tiles PC £3,000/m2 bedded and jointed in cement mortar and pointed in coloured cement to match including laying to approved pattern</t>
  </si>
  <si>
    <t>To floors</t>
  </si>
  <si>
    <t>Skirting 100mm wide</t>
  </si>
  <si>
    <t>600 x 300 x 8mm Polished granite floor tiles PC £8000/m2 bedded and jointed in cement mortar and pointed in coloured cement to match including laying to approved pattern</t>
  </si>
  <si>
    <t>Treads 250mm wide with non-slip grooves</t>
  </si>
  <si>
    <t>Risers 150mm wide</t>
  </si>
  <si>
    <t>Cement and sand (1:4) Beds and Backing</t>
  </si>
  <si>
    <t>50mm Paving finished with non-slip top surface</t>
  </si>
  <si>
    <t>44mm Screeded bed</t>
  </si>
  <si>
    <t>15mm Screeded backing</t>
  </si>
  <si>
    <t>PAGE  2/15  TO  COLLECTION</t>
  </si>
  <si>
    <t>Ceiling Finishing</t>
  </si>
  <si>
    <t>12mm Plasterboard sheet nailed to hardwood nogggins (measured separately) spaced at 600mm centres both ways with joints masked in tape and finished in gypsum plaster smooth</t>
  </si>
  <si>
    <t>Moulded cornice in gypsum plaster at joint of ceiling and wall</t>
  </si>
  <si>
    <t>Prepare prime and paint two coats emulsion on plaster soffits</t>
  </si>
  <si>
    <t xml:space="preserve">Approved PVC ceiling slats at eaves screwed to  hardwood noggins (measured separately) spaced at 600mm centres </t>
  </si>
  <si>
    <t>PAGE  2/16  TO  COLLECTION</t>
  </si>
  <si>
    <t xml:space="preserve">FINISHES   </t>
  </si>
  <si>
    <t>COLLECTION</t>
  </si>
  <si>
    <t>PAGE  2/14</t>
  </si>
  <si>
    <t>PAGE  2/15</t>
  </si>
  <si>
    <t>PAGE  2/16</t>
  </si>
  <si>
    <t>FINISHES               PAGE  2/17 TO SUMMARY</t>
  </si>
  <si>
    <t>SERVICES  INSTALLATION</t>
  </si>
  <si>
    <t>Electrical Installation</t>
  </si>
  <si>
    <t xml:space="preserve">Provide a Sum for Electrical Installation to be expended as directed </t>
  </si>
  <si>
    <t>Mechanical Installation</t>
  </si>
  <si>
    <t xml:space="preserve">Provide a Sum for Plumbing Installation to be expended as directed </t>
  </si>
  <si>
    <t>SERVICES  INSTALLATIONS                                   PAGE 2/18  TO SUMMARY</t>
  </si>
  <si>
    <t>BILL Nr 2 - FIVE TWO-BEDROOM DWELLINGS</t>
  </si>
  <si>
    <t>SUMMARY</t>
  </si>
  <si>
    <t>SUBSTRUCTURES (page 2/3)</t>
  </si>
  <si>
    <t>STRUCTURE (page 2/6)</t>
  </si>
  <si>
    <t>ROOFS (page 2/9)</t>
  </si>
  <si>
    <t>EXTERNAL CLADDING &amp; INT PARTITIONS(page 2/12)</t>
  </si>
  <si>
    <t>FITTINGS (page 2/13)</t>
  </si>
  <si>
    <t>FINISHES (page 2/17)</t>
  </si>
  <si>
    <t>SERVICES INSTALLATION (page 2/18)</t>
  </si>
  <si>
    <t>BILL Nr 2 - 5 UNITS 2 BEDROOM BUILDING</t>
  </si>
  <si>
    <t xml:space="preserve"> CARRIED TO MAIN SUMMARY</t>
  </si>
  <si>
    <t xml:space="preserve">    N          k</t>
  </si>
  <si>
    <t xml:space="preserve">     N                       k</t>
  </si>
  <si>
    <t>BILL Nr 5 - EXTERNAL WORKS (All Provisional)</t>
  </si>
  <si>
    <t>SITE WORKS</t>
  </si>
  <si>
    <t>Clear site of all grass debris and other delecterious material and cart away from site (area of approximately 6200 sq metres)</t>
  </si>
  <si>
    <t xml:space="preserve">Approved laterite filling in making up levels on site </t>
  </si>
  <si>
    <t>Car Park and Walkways</t>
  </si>
  <si>
    <t>Approved sand filling in making up levels spread and levelled</t>
  </si>
  <si>
    <t xml:space="preserve">and consolidated in 200mm layers with approved vibrating </t>
  </si>
  <si>
    <t>machine (Provisional)</t>
  </si>
  <si>
    <t>80mm Precast concrete interlocking road paviors (approved design)</t>
  </si>
  <si>
    <t>laid on and including 50mm sand bed to approved pattern</t>
  </si>
  <si>
    <t>100 x 300mm Plain precast concrete (Grade20) half battered</t>
  </si>
  <si>
    <t>kerb cast in 600mm lengths bedded jointed and pointed in</t>
  </si>
  <si>
    <t>cement mortar (1:3) on and including 300 x 100mm concrete</t>
  </si>
  <si>
    <t xml:space="preserve">(Grade 20) foundation with haunching up one side and </t>
  </si>
  <si>
    <t>including all necessary excavation forwork and disposal</t>
  </si>
  <si>
    <t>Ditto curved</t>
  </si>
  <si>
    <t>External Works Page 5/1 to Collection</t>
  </si>
  <si>
    <t>Soft Landscaping</t>
  </si>
  <si>
    <t>Approved vegetable soil or black humus topsoil 150mm thick</t>
  </si>
  <si>
    <t>free from stones weeds roots etc and spread and level and</t>
  </si>
  <si>
    <t>sprayed with ammonia nitrate or other approved fertiliser</t>
  </si>
  <si>
    <t>Plant cynodon dactylon (Bahama grass) or other approved carpet</t>
  </si>
  <si>
    <t xml:space="preserve">grass at 150mm centres in all directions and well water until </t>
  </si>
  <si>
    <t>well established including replacing dead patches until the</t>
  </si>
  <si>
    <t>whole area is evenly covered with a healthy growth</t>
  </si>
  <si>
    <t>Provide a Sum for Planting shrubs and flowers to be expended as directed</t>
  </si>
  <si>
    <t>Fencing</t>
  </si>
  <si>
    <t>Excavate trench and bases for foundations and disposal</t>
  </si>
  <si>
    <t>50mm Concrete (1:8) blinding bed under bases</t>
  </si>
  <si>
    <t>Plain in-situ concrete (grade 15) in trench foundations</t>
  </si>
  <si>
    <t>In-situ reinforced concrete (Grade 20)</t>
  </si>
  <si>
    <t xml:space="preserve">Formwork </t>
  </si>
  <si>
    <t>Sides of bases</t>
  </si>
  <si>
    <t>Sides of columns</t>
  </si>
  <si>
    <t>External Works Page 5/2 to Collection</t>
  </si>
  <si>
    <t>Fencing (contd)</t>
  </si>
  <si>
    <t>16mm Diameter high tensile reinforcement</t>
  </si>
  <si>
    <t>12mm Diameter high tensile reinforcement</t>
  </si>
  <si>
    <t>10mm Diameter mild steel links</t>
  </si>
  <si>
    <t>Precast concrete (Grade 20) bedded in cement mortar and finished fair alll round</t>
  </si>
  <si>
    <t>50 x 300mm wide Saddle back coping throated both sides</t>
  </si>
  <si>
    <t>Capping size 300 x300 x 100mm thick overall weathered and throated</t>
  </si>
  <si>
    <t>230mm Hollow blockwalling in cement mortar</t>
  </si>
  <si>
    <t>Smooth rendering on walls externally in cement mortar as described</t>
  </si>
  <si>
    <t>Prepare and prime and apply texcote or other approved textured</t>
  </si>
  <si>
    <t>paint on rendered walls</t>
  </si>
  <si>
    <t>Provide a sum for Wrought iron fence grilles  to be expended as directed</t>
  </si>
  <si>
    <t>Provide a sum for Gates(2Nr)  to be expended as directed</t>
  </si>
  <si>
    <t>Provide a Sum for Gate House to be expended as directed</t>
  </si>
  <si>
    <t>Provide a Sum for site drainage to be expended as directed</t>
  </si>
  <si>
    <t>Provide a Sum for soil drainage to be expended as directed</t>
  </si>
  <si>
    <t>External Works Page 5/3 to Collection</t>
  </si>
  <si>
    <t>Provide a Sum for Generator House to be expended as directed</t>
  </si>
  <si>
    <t>Provide a Sum for Borehole and Water Treatment to be expended as directed</t>
  </si>
  <si>
    <t>Provide a Sum for Water Storage and Distribution to be expended as directed</t>
  </si>
  <si>
    <t>Provide a Sum for Electricity Supply and Distribution to be expended as directed</t>
  </si>
  <si>
    <t>External Works Page 5/4 to Collection</t>
  </si>
  <si>
    <t>BILL Nr 5 - EXTERNAL WORKS</t>
  </si>
  <si>
    <t>Page 5/1</t>
  </si>
  <si>
    <t>Page 5/2</t>
  </si>
  <si>
    <t>Page 5/3</t>
  </si>
  <si>
    <t>Page 5/4</t>
  </si>
  <si>
    <t>BILL Nr 5 - EXTERNAL WORKS     Page 5/5</t>
  </si>
  <si>
    <t>TO MAIN SUMMARY</t>
  </si>
  <si>
    <t>SAMPLE FIVE-DWELLING DEVELOPMENT</t>
  </si>
  <si>
    <t>MAIN SUMMARY</t>
  </si>
  <si>
    <t>BILL Nr 1 -  CONDITIONS OF CONTRACT,</t>
  </si>
  <si>
    <t xml:space="preserve">                    PRELIMINARIES &amp;  SPECIFICATIONS</t>
  </si>
  <si>
    <t>Additional four-unit block A: excluded, supporting worksheet not supplied</t>
  </si>
  <si>
    <t>Additional four-unit block C: excluded, supporting worksheet not supplied</t>
  </si>
  <si>
    <t>Additional two-unit block D: excluded, supporting worksheet not supplied</t>
  </si>
  <si>
    <t>Duplicate external-works line: excluded to avoid counting the same bill twice</t>
  </si>
  <si>
    <t>CONTINGENCIES</t>
  </si>
  <si>
    <t>Source contingency allowance retained</t>
  </si>
  <si>
    <t>SUBTOTAL BEFORE SOURCE VAT CALCULATION</t>
  </si>
  <si>
    <t>Source VAT calculation at 20% (sample arithmetic; tax treatment unverified)</t>
  </si>
  <si>
    <t>TOTAL CARRIED TO FORM OF TENDER</t>
  </si>
  <si>
    <t>Signature of Employer ............................................................................................................</t>
  </si>
  <si>
    <t>Signature of Contractor ............................................................................................................</t>
  </si>
  <si>
    <t>Completion period                                    weeks</t>
  </si>
  <si>
    <t>MS/1</t>
  </si>
  <si>
    <t>SAMPLE 2 - COMPLETION BASIS; READ WITH ALL BILL PAGES</t>
  </si>
  <si>
    <t>This is a completed sample copy of the supplied template, not a measured client project. No drawings were supplied. Original source file remains unchanged.</t>
  </si>
  <si>
    <t>Sample measurement model: five detached two-storey two-bedroom dwellings; each footprint 10 x 8 m, two 3 m storeys. Ground and upper gross areas are 400 m2 each. This model is a stated scope, not a survey.</t>
  </si>
  <si>
    <t>Per dwelling: seven windows; two external doors; one garage shutter; six 900 mm and three 750 mm internal doors. Internal partitions total 80 m per dwelling, measured across both storeys.</t>
  </si>
  <si>
    <t>Per dwelling net finished floors: ceramic 120 m2 + granite 17 m2 + garage 15 m2 = 152 m2; gross 160 m2 less 8 m2 wall/void allowance. Wall tiles: 50 m2 per dwelling.</t>
  </si>
  <si>
    <t>Structural sizes and reinforcement quantities are provisional sample allowances, not structural design. Source mass allowances 150 kg/m3 (bases/stubs) and 190 kg/m3 (frame) are split by stated percentages; all require engineered schedules for a live project.</t>
  </si>
  <si>
    <t>External-work quantities and all supplied lump sums are retained from the source; they were not measured against this model. Original rates and allowances remain GBP without conversion or market validation.</t>
  </si>
  <si>
    <t>All priced amounts are displayed quantity x supplied rate, rounded to pence. Collections and summaries are recalculated. Zero means excluded/not applicable; alternative prices are zero because no alternative quotation was supplied.</t>
  </si>
  <si>
    <t>Source unit key: CM = cubic metres (m3); SM = square metres (m2); M = linear metres; Kg = kilograms; Nr = number; sum = one complete provisional/lump-sum allowance.</t>
  </si>
  <si>
    <t>Unsupported extra building bills from the source summary are explicitly excluded, rather than inventing entire missing buildings. The five-dwelling bill and external works are included once only.</t>
  </si>
  <si>
    <t>The source 20% VAT arithmetic is retained for illustration only; applicability to an actual new-build project has not been established. Preliminaries and contingency are the original source allowances.</t>
  </si>
  <si>
    <t>Measurement reference: RICS NRM guidance https://www.rics.org/profession-standards/rics-standards-and-guidance/sector-standards/construction-standards/nrm . No claim of full NRM compliance is made.</t>
  </si>
  <si>
    <t>1</t>
  </si>
  <si>
    <t>Building row 9: 5 x 10 x 8 m footprint x 0.15 m reduced-level excavation</t>
  </si>
  <si>
    <t>2</t>
  </si>
  <si>
    <t>Building row 12: 240 m strip trenches x 0.60 m width x 1.00 m depth; separate from internal column pits</t>
  </si>
  <si>
    <t>3</t>
  </si>
  <si>
    <t>Building row 15: 40 separate internal column pits x 1.20 x 1.20 x 1.20 m</t>
  </si>
  <si>
    <t>4</t>
  </si>
  <si>
    <t>Building row 18: Trench/pit excavation less footing, bases, stubs and foundation blockwork volumes</t>
  </si>
  <si>
    <t>5</t>
  </si>
  <si>
    <t>Building row 21: Reduced-level + foundation excavation less return fill; all surplus removed</t>
  </si>
  <si>
    <t>6</t>
  </si>
  <si>
    <t>Building row 24: 400 m2 footprint x 0.30 m compacted fill</t>
  </si>
  <si>
    <t>7</t>
  </si>
  <si>
    <t>Building row 27: 400 m2 net footprint; laps included in the supplied rate</t>
  </si>
  <si>
    <t>8</t>
  </si>
  <si>
    <t>Building row 32: Strip/pit base areas x 0.04 m blinding thickness</t>
  </si>
  <si>
    <t>9</t>
  </si>
  <si>
    <t>Building row 35: 240 x 0.60 x 0.25 m strip footing</t>
  </si>
  <si>
    <t>10</t>
  </si>
  <si>
    <t>Building row 40: 40 x 1.00 x 1.00 x 0.35 m bases</t>
  </si>
  <si>
    <t>11</t>
  </si>
  <si>
    <t>Building row 43: 40 x 0.23 x 0.23 x 0.65 m column stubs</t>
  </si>
  <si>
    <t>12</t>
  </si>
  <si>
    <t>Building row 46: 400 m2 ground-floor slab x 0.15 m</t>
  </si>
  <si>
    <t>13</t>
  </si>
  <si>
    <t>Building row 55: 40 bases x four 1.00 m sides x 0.35 m depth</t>
  </si>
  <si>
    <t>14</t>
  </si>
  <si>
    <t>Building row 58: Column stub faces plus exposed slab perimeter edge</t>
  </si>
  <si>
    <t>15</t>
  </si>
  <si>
    <t>Building row 64: 30% of 150 kg/m3 provisional reinforcement allowance on bases and stubs</t>
  </si>
  <si>
    <t>16</t>
  </si>
  <si>
    <t>Building row 67: 30% of the same provisional reinforcement allowance</t>
  </si>
  <si>
    <t>17</t>
  </si>
  <si>
    <t>Building row 70: 25% of the same provisional reinforcement allowance</t>
  </si>
  <si>
    <t>18</t>
  </si>
  <si>
    <t>Building row 73: 15% of the same provisional reinforcement allowance</t>
  </si>
  <si>
    <t>19</t>
  </si>
  <si>
    <t>Building row 77: 400 m2 net ground-floor slab mesh; no lap area added</t>
  </si>
  <si>
    <t>20</t>
  </si>
  <si>
    <t>Building row 80: 240 m foundation wall length x 0.65 m height</t>
  </si>
  <si>
    <t>21</t>
  </si>
  <si>
    <t>Building row 161: 40 columns x 0.23 x 0.23 x 6.00 m above ground</t>
  </si>
  <si>
    <t>22</t>
  </si>
  <si>
    <t>Building row 164: 240 m floor-beam length x 0.23 x 0.45 m; separate sample beam/slab volumes</t>
  </si>
  <si>
    <t>23</t>
  </si>
  <si>
    <t>Building row 167: 240 m roof-beam length x 0.23 x 0.30 m</t>
  </si>
  <si>
    <t>24</t>
  </si>
  <si>
    <t>Building row 170: 5 stair waist slabs x 1.10 x 4.00 x 0.15 m; steps included in allowance</t>
  </si>
  <si>
    <t>25</t>
  </si>
  <si>
    <t>Building row 173: 0: lintels are priced with reinforcement under item F on source page 2/5; avoids duplicate pricing</t>
  </si>
  <si>
    <t>26</t>
  </si>
  <si>
    <t>Building row 176: 400 m2 upper-floor slab x 0.15 m</t>
  </si>
  <si>
    <t>27</t>
  </si>
  <si>
    <t>Building row 181: 40 columns x four 0.23 m sides x 6.00 m height</t>
  </si>
  <si>
    <t>28</t>
  </si>
  <si>
    <t>Building row 184: 240 m floor beams x two sides and soffit widths</t>
  </si>
  <si>
    <t>29</t>
  </si>
  <si>
    <t>Building row 187: 240 m roof beams x two sides and soffit widths</t>
  </si>
  <si>
    <t>30</t>
  </si>
  <si>
    <t>Building row 190: 0: precast lintel rate includes the complete item; no separate formwork</t>
  </si>
  <si>
    <t>31</t>
  </si>
  <si>
    <t>Building row 193: 400 m2 net suspended-floor soffit</t>
  </si>
  <si>
    <t>32</t>
  </si>
  <si>
    <t>Building row 196: 5 stairs: sloping soffit plus two waist edges</t>
  </si>
  <si>
    <t>33</t>
  </si>
  <si>
    <t>Building row 216: 30% of source 190 kg/m3 provisional reinforcement allowance; excludes precast lintels</t>
  </si>
  <si>
    <t>34</t>
  </si>
  <si>
    <t>Building row 219: 40% of the same provisional reinforcement allowance</t>
  </si>
  <si>
    <t>35</t>
  </si>
  <si>
    <t>Building row 222: 20% of the same provisional reinforcement allowance</t>
  </si>
  <si>
    <t>36</t>
  </si>
  <si>
    <t>Building row 226: 10% of the same provisional reinforcement allowance</t>
  </si>
  <si>
    <t>37</t>
  </si>
  <si>
    <t>Building row 231: Sum of window widths: seven scheduled windows per dwelling</t>
  </si>
  <si>
    <t>38</t>
  </si>
  <si>
    <t>Building row 234: 18 m total precast lintel length per dwelling, including end bearings</t>
  </si>
  <si>
    <t>39</t>
  </si>
  <si>
    <t>Building row 319: 5 separate 11 x 9 m roofs on plan, 30-degree slope; includes overhangs</t>
  </si>
  <si>
    <t>40</t>
  </si>
  <si>
    <t>Building row 324: 5 ridges x 11 m</t>
  </si>
  <si>
    <t>41</t>
  </si>
  <si>
    <t>Building row 327: 5 roofs x two 11 m eaves</t>
  </si>
  <si>
    <t>42</t>
  </si>
  <si>
    <t>Building row 330: 0: detached pitched roofs have no abutment flashing in this sample scope</t>
  </si>
  <si>
    <t>43</t>
  </si>
  <si>
    <t>Building row 333: Four sloping verge edges per roof x 4.5/cos(30 degrees)</t>
  </si>
  <si>
    <t>44</t>
  </si>
  <si>
    <t>Building row 338: Two 10 m wall plates plus two 8 m returns per dwelling</t>
  </si>
  <si>
    <t>45</t>
  </si>
  <si>
    <t>Building row 341: 20 trusses per dwelling x two sloping rafters</t>
  </si>
  <si>
    <t>46</t>
  </si>
  <si>
    <t>Building row 344: 100 trusses x 9 m tie span</t>
  </si>
  <si>
    <t>47</t>
  </si>
  <si>
    <t>Building row 347: 100 trusses x two 2 m struts</t>
  </si>
  <si>
    <t>48</t>
  </si>
  <si>
    <t>Building row 350: Five purlin lines per roof slope x two slopes x 11 m</t>
  </si>
  <si>
    <t>49</t>
  </si>
  <si>
    <t>Building row 353: 600 mm grid over 400 m2 upper ceiling, plus transverse noggins over 50 m2 eaves</t>
  </si>
  <si>
    <t>50</t>
  </si>
  <si>
    <t>Building row 365: Both eaves plus four sloping verges per roof</t>
  </si>
  <si>
    <t>51</t>
  </si>
  <si>
    <t>Building row 368: One 3.00 x 1.50 m pergola per dwelling</t>
  </si>
  <si>
    <t>52</t>
  </si>
  <si>
    <t>Building row 471: 180 m total external perimeter x 6 m height, less scheduled windows and external doors</t>
  </si>
  <si>
    <t>53</t>
  </si>
  <si>
    <t>Building row 474: 80 m internal partitions per dwelling x 3 m storey height, less internal door openings</t>
  </si>
  <si>
    <t>54</t>
  </si>
  <si>
    <t>Building row 481: One 900 x 900 mm window per dwelling</t>
  </si>
  <si>
    <t>55</t>
  </si>
  <si>
    <t>Building row 484: Two 900 x 1200 mm windows per dwelling</t>
  </si>
  <si>
    <t>56</t>
  </si>
  <si>
    <t>Building row 487: One 2300 x 1200 mm window per dwelling</t>
  </si>
  <si>
    <t>57</t>
  </si>
  <si>
    <t>Building row 490: Two 1200 x 1200 mm bedroom windows per dwelling</t>
  </si>
  <si>
    <t>58</t>
  </si>
  <si>
    <t>Building row 493: One 1500 x 1200 mm window per dwelling</t>
  </si>
  <si>
    <t>59</t>
  </si>
  <si>
    <t>Building row 520: One 1200 mm entrance door per dwelling</t>
  </si>
  <si>
    <t>60</t>
  </si>
  <si>
    <t>Building row 523: One 900 mm external door per dwelling</t>
  </si>
  <si>
    <t>61</t>
  </si>
  <si>
    <t>Building row 526: One garage shutter per dwelling; garage included in ground-floor footprint</t>
  </si>
  <si>
    <t>62</t>
  </si>
  <si>
    <t>Building row 531: Six 900 mm internal doors per dwelling</t>
  </si>
  <si>
    <t>63</t>
  </si>
  <si>
    <t>Building row 534: Three 750 mm internal doors per dwelling</t>
  </si>
  <si>
    <t>64</t>
  </si>
  <si>
    <t>Building row 538: Both faces of 45 internal door leaves; lining finish included in rate</t>
  </si>
  <si>
    <t>65</t>
  </si>
  <si>
    <t>Building row 670: Internal face of external walls plus both faces of partitions, net of openings</t>
  </si>
  <si>
    <t>66</t>
  </si>
  <si>
    <t>Building row 673: 400 m2 exposed lower-storey concrete soffits</t>
  </si>
  <si>
    <t>67</t>
  </si>
  <si>
    <t>Building row 679: Net internal wall rendering less 250 m2 tiled wall finish</t>
  </si>
  <si>
    <t>68</t>
  </si>
  <si>
    <t>Building row 682: 400 m2 lower-storey soffit skim</t>
  </si>
  <si>
    <t>69</t>
  </si>
  <si>
    <t>Building row 687: Same net skimmed wall area; tiled areas excluded</t>
  </si>
  <si>
    <t>70</t>
  </si>
  <si>
    <t>Building row 690: 400 m2 lower-storey painted concrete soffits</t>
  </si>
  <si>
    <t>71</t>
  </si>
  <si>
    <t>Building row 696: Net external wall area; one exterior face only</t>
  </si>
  <si>
    <t>72</t>
  </si>
  <si>
    <t>Building row 699: Same external rendered wall area</t>
  </si>
  <si>
    <t>73</t>
  </si>
  <si>
    <t>Building row 702: 50 m2 tiled kitchen/bathroom wall finishes per dwelling</t>
  </si>
  <si>
    <t>74</t>
  </si>
  <si>
    <t>Building row 720: 120 m2 ceramic floors per dwelling; total net floor area 152 m2 each</t>
  </si>
  <si>
    <t>75</t>
  </si>
  <si>
    <t>Building row 723: 110 m ceramic skirting per dwelling, excluding door gaps and granite zones</t>
  </si>
  <si>
    <t>76</t>
  </si>
  <si>
    <t>Building row 728: 17 m2 granite circulation floors per dwelling; excludes ceramic and garage areas</t>
  </si>
  <si>
    <t>77</t>
  </si>
  <si>
    <t>Building row 731: 16 stair treads per dwelling x 1.10 m width</t>
  </si>
  <si>
    <t>78</t>
  </si>
  <si>
    <t>Building row 734: 16 stair risers per dwelling x 1.10 m width</t>
  </si>
  <si>
    <t>79</t>
  </si>
  <si>
    <t>Building row 737: 30 m granite skirting per dwelling, excluding ceramic zones</t>
  </si>
  <si>
    <t>80</t>
  </si>
  <si>
    <t>Building row 744: 15 m2 garage floor finish per dwelling</t>
  </si>
  <si>
    <t>81</t>
  </si>
  <si>
    <t>Building row 747: Ceramic and granite floor areas: 120 + 17 m2 per dwelling</t>
  </si>
  <si>
    <t>82</t>
  </si>
  <si>
    <t>Building row 750: Backing to the 250 m2 wall tiling only</t>
  </si>
  <si>
    <t>83</t>
  </si>
  <si>
    <t>Building row 766: 400 m2 top-storey plasterboard ceiling</t>
  </si>
  <si>
    <t>84</t>
  </si>
  <si>
    <t>Building row 769: 120 m ceiling cornice per dwelling, after openings/untreated garage zones</t>
  </si>
  <si>
    <t>85</t>
  </si>
  <si>
    <t>Building row 772: 400 m2 top-storey plasterboard ceiling painted</t>
  </si>
  <si>
    <t>86</t>
  </si>
  <si>
    <t>Building row 775: 10 m2 horizontal eaves soffit per dwelling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</si>
</sst>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0;(#,##0.00);0"/>
  </numFmts>
  <fonts count="3" x14ac:knownFonts="1">
    <font>
      <color theme="1"/>
      <family val="2"/>
      <scheme val="minor"/>
      <sz val="11"/>
      <name val="Calibri"/>
    </font>
    <font>
      <b/>
      <color rgb="FFFFFFFF"/>
      <sz val="10"/>
      <name val="Arial"/>
    </font>
    <font>
      <color rgb="FF263247"/>
      <sz val="10"/>
      <name val="Arial"/>
    </font>
  </fonts>
  <fills count="3">
    <fill>
      <patternFill patternType="none"/>
    </fill>
    <fill>
      <patternFill patternType="gray125"/>
    </fill>
    <fill>
      <patternFill patternType="solid">
        <fgColor rgb="FF13234D"/>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164" fontId="1" fillId="2" borderId="0" xfId="0" applyNumberFormat="1" applyFont="1" applyFill="1" applyAlignment="1">
      <alignment horizontal="right" vertical="top" wrapText="1"/>
    </xf>
    <xf numFmtId="0" fontId="1" fillId="2" borderId="0" xfId="0" applyFont="1" applyFill="1" applyAlignment="1">
      <alignment horizontal="right" vertical="top" wrapText="1"/>
    </xf>
    <xf numFmtId="0" fontId="1" fillId="2" borderId="0" xfId="0" applyFont="1" applyFill="1" applyAlignment="1">
      <alignment horizontal="center" vertical="top" wrapText="1"/>
    </xf>
    <xf numFmtId="165" fontId="1" fillId="2" borderId="0" xfId="0" applyNumberFormat="1" applyFont="1" applyFill="1" applyAlignment="1">
      <alignment horizontal="right" vertical="top" wrapText="1"/>
    </xf>
    <xf numFmtId="165" fontId="2" fillId="0" borderId="0" xfId="0" applyNumberFormat="1" applyFont="1" applyAlignment="1">
      <alignment horizontal="right" vertical="top" wrapText="1"/>
    </xf>
    <xf numFmtId="0" fontId="2" fillId="0" borderId="0" xfId="0" applyFont="1" applyAlignment="1">
      <alignment horizontal="left" vertical="top" wrapText="1"/>
    </xf>
    <xf numFmtId="164" fontId="2" fillId="0" borderId="0" xfId="0" applyNumberFormat="1" applyFont="1" applyAlignment="1">
      <alignment horizontal="right" vertical="top" wrapText="1"/>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6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80" customWidth="1"/>
    <col min="3" max="3" width="14" customWidth="1"/>
    <col min="4" max="4" width="2" customWidth="1"/>
    <col min="5" max="5" width="10" customWidth="1"/>
    <col min="6" max="6" width="18" customWidth="1"/>
    <col min="7" max="7" width="22" customWidth="1"/>
    <col min="8" max="8" width="18" customWidth="1"/>
    <col min="9" max="9" width="22" customWidth="1"/>
  </cols>
  <sheetData>
    <row r="1" ht="28" customHeight="1" spans="1:9" x14ac:dyDescent="0.25">
      <c r="A1" s="1" t="s">
        <v>0</v>
      </c>
      <c r="B1" s="1" t="s">
        <v>1</v>
      </c>
      <c r="C1" s="2" t="s">
        <v>2</v>
      </c>
      <c r="D1" s="3" t="s">
        <v>3</v>
      </c>
      <c r="E1" s="4" t="s">
        <v>4</v>
      </c>
      <c r="F1" s="5" t="s">
        <v>5</v>
      </c>
      <c r="G1" s="5" t="s">
        <v>6</v>
      </c>
    </row>
    <row r="2" ht="6" customHeight="1" spans="1:9" x14ac:dyDescent="0.25">
      <c r="F2" s="6" t="s">
        <v>7</v>
      </c>
      <c r="G2" s="6" t="s">
        <v>8</v>
      </c>
    </row>
    <row r="3" ht="24" customHeight="1" spans="1:9" x14ac:dyDescent="0.25">
      <c r="B3" s="7" t="s">
        <v>9</v>
      </c>
    </row>
    <row r="5" ht="24" customHeight="1" spans="1:9" x14ac:dyDescent="0.25">
      <c r="B5" s="7" t="s">
        <v>10</v>
      </c>
    </row>
    <row r="6" spans="7:7" x14ac:dyDescent="0.25"/>
    <row r="7" ht="24" customHeight="1" spans="1:9" x14ac:dyDescent="0.25">
      <c r="B7" s="7" t="s">
        <v>11</v>
      </c>
    </row>
    <row r="8" spans="7:7" x14ac:dyDescent="0.25"/>
    <row r="9" ht="24" customHeight="1" spans="1:9" x14ac:dyDescent="0.25">
      <c r="A9" s="7" t="s">
        <v>12</v>
      </c>
      <c r="B9" s="7" t="s">
        <v>13</v>
      </c>
      <c r="C9" s="8">
        <v>60</v>
      </c>
      <c r="E9" s="9" t="s">
        <v>14</v>
      </c>
      <c r="F9" s="6">
        <v>500</v>
      </c>
      <c r="G9" s="6">
        <f>ROUND(C9*F9,2)</f>
        <v>30000</v>
      </c>
      <c r="H9" s="6">
        <v>0</v>
      </c>
      <c r="I9" s="6">
        <v>0</v>
      </c>
    </row>
    <row r="10" spans="3:9" x14ac:dyDescent="0.25"/>
    <row r="11" spans="3:9" x14ac:dyDescent="0.25"/>
    <row r="12" ht="24" customHeight="1" spans="1:9" x14ac:dyDescent="0.25">
      <c r="A12" s="7" t="s">
        <v>15</v>
      </c>
      <c r="B12" s="7" t="s">
        <v>16</v>
      </c>
      <c r="C12" s="8">
        <v>144</v>
      </c>
      <c r="E12" s="9" t="s">
        <v>14</v>
      </c>
      <c r="F12" s="6">
        <f>F9</f>
        <v>500</v>
      </c>
      <c r="G12" s="6">
        <f>ROUND(C12*F12,2)</f>
        <v>72000</v>
      </c>
      <c r="H12" s="6">
        <v>0</v>
      </c>
      <c r="I12" s="6">
        <v>0</v>
      </c>
    </row>
    <row r="13" spans="3:9" x14ac:dyDescent="0.25"/>
    <row r="14" spans="3:9" x14ac:dyDescent="0.25"/>
    <row r="15" ht="24" customHeight="1" spans="1:9" x14ac:dyDescent="0.25">
      <c r="A15" s="7" t="s">
        <v>17</v>
      </c>
      <c r="B15" s="7" t="s">
        <v>18</v>
      </c>
      <c r="C15" s="8">
        <v>69.12</v>
      </c>
      <c r="E15" s="9" t="s">
        <v>14</v>
      </c>
      <c r="F15" s="6">
        <f>F9</f>
        <v>500</v>
      </c>
      <c r="G15" s="6">
        <f>ROUND(C15*F15,2)</f>
        <v>34560</v>
      </c>
      <c r="H15" s="6">
        <v>0</v>
      </c>
      <c r="I15" s="6">
        <v>0</v>
      </c>
    </row>
    <row r="16" spans="3:9" x14ac:dyDescent="0.25"/>
    <row r="17" spans="3:9" x14ac:dyDescent="0.25"/>
    <row r="18" ht="24" customHeight="1" spans="1:9" x14ac:dyDescent="0.25">
      <c r="A18" s="7" t="s">
        <v>19</v>
      </c>
      <c r="B18" s="7" t="s">
        <v>20</v>
      </c>
      <c r="C18" s="8">
        <v>125.86</v>
      </c>
      <c r="E18" s="9" t="s">
        <v>14</v>
      </c>
      <c r="F18" s="6">
        <v>350</v>
      </c>
      <c r="G18" s="6">
        <f>ROUND(C18*F18,2)</f>
        <v>44051</v>
      </c>
      <c r="H18" s="6">
        <v>0</v>
      </c>
      <c r="I18" s="6">
        <v>0</v>
      </c>
    </row>
    <row r="19" spans="3:9" x14ac:dyDescent="0.25"/>
    <row r="20" spans="3:9" x14ac:dyDescent="0.25"/>
    <row r="21" ht="24" customHeight="1" spans="1:9" x14ac:dyDescent="0.25">
      <c r="A21" s="7" t="s">
        <v>21</v>
      </c>
      <c r="B21" s="7" t="s">
        <v>22</v>
      </c>
      <c r="C21" s="8">
        <v>147.26</v>
      </c>
      <c r="E21" s="9" t="s">
        <v>14</v>
      </c>
      <c r="F21" s="6">
        <v>450</v>
      </c>
      <c r="G21" s="6">
        <f>ROUND(C21*F21,2)</f>
        <v>66267</v>
      </c>
      <c r="H21" s="6">
        <v>0</v>
      </c>
      <c r="I21" s="6">
        <v>0</v>
      </c>
    </row>
    <row r="22" spans="3:9" x14ac:dyDescent="0.25"/>
    <row r="23" spans="3:9" x14ac:dyDescent="0.25"/>
    <row r="24" ht="24" customHeight="1" spans="1:9" x14ac:dyDescent="0.25">
      <c r="A24" s="7" t="s">
        <v>23</v>
      </c>
      <c r="B24" s="7" t="s">
        <v>24</v>
      </c>
      <c r="C24" s="8">
        <v>120</v>
      </c>
      <c r="E24" s="9" t="s">
        <v>14</v>
      </c>
      <c r="F24" s="6">
        <v>2500</v>
      </c>
      <c r="G24" s="6">
        <f>ROUND(C24*F24,2)</f>
        <v>300000</v>
      </c>
      <c r="H24" s="6">
        <v>0</v>
      </c>
      <c r="I24" s="6">
        <v>0</v>
      </c>
    </row>
    <row r="25" spans="3:9" x14ac:dyDescent="0.25"/>
    <row r="26" spans="3:9" x14ac:dyDescent="0.25"/>
    <row r="27" ht="24" customHeight="1" spans="1:9" x14ac:dyDescent="0.25">
      <c r="A27" s="7" t="s">
        <v>25</v>
      </c>
      <c r="B27" s="7" t="s">
        <v>26</v>
      </c>
      <c r="C27" s="8">
        <v>400</v>
      </c>
      <c r="E27" s="9" t="s">
        <v>27</v>
      </c>
      <c r="F27" s="6">
        <v>250</v>
      </c>
      <c r="G27" s="6">
        <f>ROUND(C27*F27,2)</f>
        <v>100000</v>
      </c>
      <c r="H27" s="6">
        <v>0</v>
      </c>
      <c r="I27" s="6">
        <v>0</v>
      </c>
    </row>
    <row r="28" spans="3:9" x14ac:dyDescent="0.25"/>
    <row r="29" spans="3:9" x14ac:dyDescent="0.25"/>
    <row r="30" ht="24" customHeight="1" spans="1:9" x14ac:dyDescent="0.25">
      <c r="B30" s="7" t="s">
        <v>28</v>
      </c>
    </row>
    <row r="31" spans="3:9" x14ac:dyDescent="0.25"/>
    <row r="32" ht="24" customHeight="1" spans="1:9" x14ac:dyDescent="0.25">
      <c r="A32" s="7" t="s">
        <v>29</v>
      </c>
      <c r="B32" s="7" t="s">
        <v>30</v>
      </c>
      <c r="C32" s="8">
        <v>8.06</v>
      </c>
      <c r="E32" s="9" t="s">
        <v>14</v>
      </c>
      <c r="F32" s="6">
        <v>15000</v>
      </c>
      <c r="G32" s="6">
        <f>ROUND(C32*F32,2)</f>
        <v>120900</v>
      </c>
      <c r="H32" s="6">
        <v>0</v>
      </c>
      <c r="I32" s="6">
        <v>0</v>
      </c>
    </row>
    <row r="33" spans="3:9" x14ac:dyDescent="0.25"/>
    <row r="34" spans="7:7" x14ac:dyDescent="0.25"/>
    <row r="35" ht="24" customHeight="1" spans="1:9" x14ac:dyDescent="0.25">
      <c r="A35" s="7" t="s">
        <v>31</v>
      </c>
      <c r="B35" s="7" t="s">
        <v>32</v>
      </c>
      <c r="C35" s="8">
        <v>36</v>
      </c>
      <c r="E35" s="9" t="s">
        <v>14</v>
      </c>
      <c r="F35" s="6">
        <v>28000</v>
      </c>
      <c r="G35" s="6">
        <f>ROUND(C35*F35,2)</f>
        <v>1008000</v>
      </c>
      <c r="H35" s="6">
        <v>0</v>
      </c>
      <c r="I35" s="6">
        <v>0</v>
      </c>
    </row>
    <row r="36" spans="7:7" x14ac:dyDescent="0.25"/>
    <row r="37" spans="3:9" x14ac:dyDescent="0.25"/>
    <row r="38" ht="24" customHeight="1" spans="1:9" x14ac:dyDescent="0.25">
      <c r="B38" s="7" t="s">
        <v>33</v>
      </c>
    </row>
    <row r="39" spans="3:9" x14ac:dyDescent="0.25"/>
    <row r="40" ht="24" customHeight="1" spans="1:9" x14ac:dyDescent="0.25">
      <c r="A40" s="7" t="s">
        <v>34</v>
      </c>
      <c r="B40" s="7" t="s">
        <v>35</v>
      </c>
      <c r="C40" s="8">
        <v>14</v>
      </c>
      <c r="E40" s="9" t="s">
        <v>14</v>
      </c>
      <c r="F40" s="6">
        <v>30000</v>
      </c>
      <c r="G40" s="6">
        <f>ROUND(C40*F40,2)</f>
        <v>420000</v>
      </c>
      <c r="H40" s="6">
        <v>0</v>
      </c>
      <c r="I40" s="6">
        <v>0</v>
      </c>
    </row>
    <row r="41" spans="3:9" x14ac:dyDescent="0.25"/>
    <row r="42" spans="3:9" x14ac:dyDescent="0.25"/>
    <row r="43" ht="24" customHeight="1" spans="1:9" x14ac:dyDescent="0.25">
      <c r="A43" s="7" t="s">
        <v>36</v>
      </c>
      <c r="B43" s="7" t="s">
        <v>37</v>
      </c>
      <c r="C43" s="8">
        <v>1.38</v>
      </c>
      <c r="E43" s="9" t="s">
        <v>14</v>
      </c>
      <c r="F43" s="6">
        <f>F40</f>
        <v>30000</v>
      </c>
      <c r="G43" s="6">
        <f>ROUND(C43*F43,2)</f>
        <v>41400</v>
      </c>
      <c r="H43" s="6">
        <v>0</v>
      </c>
      <c r="I43" s="6">
        <v>0</v>
      </c>
    </row>
    <row r="44" spans="3:9" x14ac:dyDescent="0.25"/>
    <row r="45" spans="3:9" x14ac:dyDescent="0.25"/>
    <row r="46" ht="24" customHeight="1" spans="1:9" x14ac:dyDescent="0.25">
      <c r="A46" s="7" t="s">
        <v>38</v>
      </c>
      <c r="B46" s="7" t="s">
        <v>39</v>
      </c>
      <c r="C46" s="8">
        <v>60</v>
      </c>
      <c r="E46" s="9" t="s">
        <v>14</v>
      </c>
      <c r="F46" s="6">
        <f>F40</f>
        <v>30000</v>
      </c>
      <c r="G46" s="6">
        <f>ROUND(C46*F46,2)</f>
        <v>1800000</v>
      </c>
      <c r="H46" s="6">
        <v>0</v>
      </c>
      <c r="I46" s="6">
        <v>0</v>
      </c>
    </row>
    <row r="47" spans="3:9" x14ac:dyDescent="0.25"/>
    <row r="49" ht="24" customHeight="1" spans="1:9" x14ac:dyDescent="0.25">
      <c r="B49" s="7" t="s">
        <v>40</v>
      </c>
      <c r="G49" s="6">
        <f>SUM(G5:G47)</f>
        <v>4037178</v>
      </c>
      <c r="H49" s="6">
        <v>0</v>
      </c>
      <c r="I49" s="6">
        <v>0</v>
      </c>
    </row>
    <row r="52" spans="7:7" x14ac:dyDescent="0.25"/>
    <row r="53" ht="24" customHeight="1" spans="1:9" x14ac:dyDescent="0.25">
      <c r="B53" s="7" t="s">
        <v>41</v>
      </c>
    </row>
    <row r="54" spans="3:9" x14ac:dyDescent="0.25"/>
    <row r="55" ht="24" customHeight="1" spans="1:9" x14ac:dyDescent="0.25">
      <c r="A55" s="7" t="s">
        <v>12</v>
      </c>
      <c r="B55" s="7" t="s">
        <v>42</v>
      </c>
      <c r="C55" s="8">
        <v>56</v>
      </c>
      <c r="E55" s="9" t="s">
        <v>27</v>
      </c>
      <c r="F55" s="6">
        <v>1500</v>
      </c>
      <c r="G55" s="6">
        <f>ROUND(C55*F55,2)</f>
        <v>84000</v>
      </c>
      <c r="H55" s="6">
        <v>0</v>
      </c>
      <c r="I55" s="6">
        <v>0</v>
      </c>
    </row>
    <row r="56" spans="3:9" x14ac:dyDescent="0.25"/>
    <row r="57" spans="3:9" x14ac:dyDescent="0.25"/>
    <row r="58" ht="24" customHeight="1" spans="1:9" x14ac:dyDescent="0.25">
      <c r="A58" s="7" t="s">
        <v>15</v>
      </c>
      <c r="B58" s="7" t="s">
        <v>43</v>
      </c>
      <c r="C58" s="8">
        <v>50.92</v>
      </c>
      <c r="E58" s="9" t="s">
        <v>27</v>
      </c>
      <c r="F58" s="6">
        <f>F55</f>
        <v>1500</v>
      </c>
      <c r="G58" s="6">
        <f>ROUND(C58*F58,2)</f>
        <v>76380</v>
      </c>
      <c r="H58" s="6">
        <v>0</v>
      </c>
      <c r="I58" s="6">
        <v>0</v>
      </c>
    </row>
    <row r="59" spans="3:9" x14ac:dyDescent="0.25"/>
    <row r="60" ht="24" customHeight="1" spans="1:9" x14ac:dyDescent="0.25">
      <c r="B60" s="7" t="s">
        <v>44</v>
      </c>
    </row>
    <row r="61" ht="24" customHeight="1" spans="1:9" x14ac:dyDescent="0.25">
      <c r="B61" s="7" t="s">
        <v>45</v>
      </c>
    </row>
    <row r="62" ht="24" customHeight="1" spans="1:9" x14ac:dyDescent="0.25">
      <c r="B62" s="7" t="s">
        <v>46</v>
      </c>
    </row>
    <row r="63" spans="2:9" x14ac:dyDescent="0.25"/>
    <row r="64" ht="24" customHeight="1" spans="1:9" x14ac:dyDescent="0.25">
      <c r="A64" s="7" t="s">
        <v>17</v>
      </c>
      <c r="B64" s="7" t="s">
        <v>47</v>
      </c>
      <c r="C64" s="8">
        <v>691.89</v>
      </c>
      <c r="E64" s="9" t="s">
        <v>48</v>
      </c>
      <c r="F64" s="6">
        <v>260</v>
      </c>
      <c r="G64" s="6">
        <f>ROUND(C64*F64,2)</f>
        <v>179891.4</v>
      </c>
      <c r="H64" s="6">
        <v>0</v>
      </c>
      <c r="I64" s="6">
        <v>0</v>
      </c>
    </row>
    <row r="65" spans="3:9" x14ac:dyDescent="0.25"/>
    <row r="66" spans="3:9" x14ac:dyDescent="0.25"/>
    <row r="67" ht="24" customHeight="1" spans="1:9" x14ac:dyDescent="0.25">
      <c r="A67" s="7" t="s">
        <v>19</v>
      </c>
      <c r="B67" s="7" t="s">
        <v>49</v>
      </c>
      <c r="C67" s="8">
        <v>691.89</v>
      </c>
      <c r="E67" s="9" t="s">
        <v>48</v>
      </c>
      <c r="F67" s="6">
        <f>F64</f>
        <v>260</v>
      </c>
      <c r="G67" s="6">
        <f>ROUND(C67*F67,2)</f>
        <v>179891.4</v>
      </c>
      <c r="H67" s="6">
        <v>0</v>
      </c>
      <c r="I67" s="6">
        <v>0</v>
      </c>
    </row>
    <row r="68" spans="3:9" x14ac:dyDescent="0.25"/>
    <row r="69" spans="3:9" x14ac:dyDescent="0.25"/>
    <row r="70" ht="24" customHeight="1" spans="1:9" x14ac:dyDescent="0.25">
      <c r="A70" s="7" t="s">
        <v>21</v>
      </c>
      <c r="B70" s="7" t="s">
        <v>50</v>
      </c>
      <c r="C70" s="8">
        <v>576.58</v>
      </c>
      <c r="E70" s="9" t="s">
        <v>48</v>
      </c>
      <c r="F70" s="6">
        <f>F64</f>
        <v>260</v>
      </c>
      <c r="G70" s="6">
        <f>ROUND(C70*F70,2)</f>
        <v>149910.8</v>
      </c>
      <c r="H70" s="6">
        <v>0</v>
      </c>
      <c r="I70" s="6">
        <v>0</v>
      </c>
    </row>
    <row r="71" spans="3:9" x14ac:dyDescent="0.25"/>
    <row r="72" spans="3:9" x14ac:dyDescent="0.25"/>
    <row r="73" ht="24" customHeight="1" spans="1:9" x14ac:dyDescent="0.25">
      <c r="A73" s="7" t="s">
        <v>23</v>
      </c>
      <c r="B73" s="7" t="s">
        <v>51</v>
      </c>
      <c r="C73" s="8">
        <v>345.95</v>
      </c>
      <c r="E73" s="9" t="s">
        <v>48</v>
      </c>
      <c r="F73" s="6">
        <f>F64</f>
        <v>260</v>
      </c>
      <c r="G73" s="6">
        <f>ROUND(C73*F73,2)</f>
        <v>89947</v>
      </c>
      <c r="H73" s="6">
        <v>0</v>
      </c>
      <c r="I73" s="6">
        <v>0</v>
      </c>
    </row>
    <row r="74" spans="3:9" x14ac:dyDescent="0.25"/>
    <row r="75" ht="6" customHeight="1" spans="1:9" x14ac:dyDescent="0.25">
      <c r="B75" s="7" t="s">
        <v>3</v>
      </c>
    </row>
    <row r="76" spans="3:9" x14ac:dyDescent="0.25"/>
    <row r="77" ht="24" customHeight="1" spans="1:9" x14ac:dyDescent="0.25">
      <c r="A77" s="7" t="s">
        <v>25</v>
      </c>
      <c r="B77" s="7" t="s">
        <v>52</v>
      </c>
      <c r="C77" s="8">
        <v>400</v>
      </c>
      <c r="E77" s="9" t="s">
        <v>27</v>
      </c>
      <c r="F77" s="6">
        <v>12500</v>
      </c>
      <c r="G77" s="6">
        <f>ROUND(C77*F77,2)</f>
        <v>5000000</v>
      </c>
      <c r="H77" s="6">
        <v>0</v>
      </c>
      <c r="I77" s="6">
        <v>0</v>
      </c>
    </row>
    <row r="78" spans="3:9" x14ac:dyDescent="0.25"/>
    <row r="79" spans="3:9" x14ac:dyDescent="0.25"/>
    <row r="80" ht="24" customHeight="1" spans="1:9" x14ac:dyDescent="0.25">
      <c r="A80" s="7" t="s">
        <v>29</v>
      </c>
      <c r="B80" s="7" t="s">
        <v>53</v>
      </c>
      <c r="C80" s="8">
        <v>156</v>
      </c>
      <c r="E80" s="9" t="s">
        <v>27</v>
      </c>
      <c r="F80" s="6">
        <v>18000</v>
      </c>
      <c r="G80" s="6">
        <f>ROUND(C80*F80,2)</f>
        <v>2808000</v>
      </c>
      <c r="H80" s="6">
        <v>0</v>
      </c>
      <c r="I80" s="6">
        <v>0</v>
      </c>
    </row>
    <row r="81" spans="3:9" x14ac:dyDescent="0.25"/>
    <row r="82" ht="6" customHeight="1" spans="1:9" x14ac:dyDescent="0.25">
      <c r="B82" s="7" t="s">
        <v>3</v>
      </c>
    </row>
    <row r="83" spans="7:7" x14ac:dyDescent="0.25"/>
    <row r="84" ht="24" customHeight="1" spans="1:9" x14ac:dyDescent="0.25">
      <c r="A84" s="7" t="s">
        <v>31</v>
      </c>
      <c r="B84" s="7" t="s">
        <v>54</v>
      </c>
      <c r="C84" s="8">
        <v>1</v>
      </c>
      <c r="E84" s="9" t="s">
        <v>55</v>
      </c>
      <c r="F84" s="6">
        <v>750000</v>
      </c>
      <c r="G84" s="6">
        <f>ROUND(C84*F84,2)</f>
        <v>750000</v>
      </c>
      <c r="H84" s="6">
        <v>0</v>
      </c>
      <c r="I84" s="6">
        <v>0</v>
      </c>
    </row>
    <row r="85" spans="3:9" x14ac:dyDescent="0.25"/>
    <row r="86" spans="3:9" x14ac:dyDescent="0.25"/>
    <row r="87" spans="3:9" x14ac:dyDescent="0.25"/>
    <row r="88" spans="3:9" x14ac:dyDescent="0.25"/>
    <row r="89" spans="3:9" x14ac:dyDescent="0.25"/>
    <row r="90" spans="3:9" x14ac:dyDescent="0.25"/>
    <row r="91" spans="3:9" x14ac:dyDescent="0.25"/>
    <row r="92" spans="3:9" x14ac:dyDescent="0.25"/>
    <row r="93" spans="3:9" x14ac:dyDescent="0.25"/>
    <row r="94" spans="3:9" x14ac:dyDescent="0.25"/>
    <row r="95" spans="3:9" x14ac:dyDescent="0.25"/>
    <row r="96" spans="3:9" x14ac:dyDescent="0.25"/>
    <row r="97" spans="7:7" x14ac:dyDescent="0.25"/>
    <row r="98" spans="3:9" x14ac:dyDescent="0.25"/>
    <row r="101" ht="24" customHeight="1" spans="1:9" x14ac:dyDescent="0.25">
      <c r="B101" s="7" t="s">
        <v>56</v>
      </c>
      <c r="G101" s="6">
        <f>SUM(G52:G98)</f>
        <v>9318020.6</v>
      </c>
      <c r="H101" s="6">
        <v>0</v>
      </c>
      <c r="I101" s="6">
        <v>0</v>
      </c>
    </row>
    <row r="104" spans="7:7" x14ac:dyDescent="0.25"/>
    <row r="105" ht="24" customHeight="1" spans="1:9" x14ac:dyDescent="0.25">
      <c r="B105" s="7" t="s">
        <v>57</v>
      </c>
    </row>
    <row r="106" spans="7:7" x14ac:dyDescent="0.25"/>
    <row r="107" ht="24" customHeight="1" spans="1:9" x14ac:dyDescent="0.25">
      <c r="B107" s="7" t="s">
        <v>58</v>
      </c>
    </row>
    <row r="108" spans="7:7" x14ac:dyDescent="0.25"/>
    <row r="109" spans="7:7" x14ac:dyDescent="0.25"/>
    <row r="110" ht="24" customHeight="1" spans="1:9" x14ac:dyDescent="0.25">
      <c r="B110" s="7" t="s">
        <v>59</v>
      </c>
      <c r="G110" s="6">
        <f>G49</f>
        <v>4037178</v>
      </c>
      <c r="H110" s="6">
        <v>0</v>
      </c>
      <c r="I110" s="6">
        <v>0</v>
      </c>
    </row>
    <row r="111" spans="7:7" x14ac:dyDescent="0.25"/>
    <row r="112" spans="7:7" x14ac:dyDescent="0.25"/>
    <row r="113" spans="7:7" x14ac:dyDescent="0.25"/>
    <row r="114" spans="7:7" x14ac:dyDescent="0.25"/>
    <row r="115" ht="24" customHeight="1" spans="1:9" x14ac:dyDescent="0.25">
      <c r="B115" s="7" t="s">
        <v>60</v>
      </c>
      <c r="G115" s="6">
        <f>G101</f>
        <v>9318020.6</v>
      </c>
      <c r="H115" s="6">
        <v>0</v>
      </c>
      <c r="I115" s="6">
        <v>0</v>
      </c>
    </row>
    <row r="116" spans="7:7" x14ac:dyDescent="0.25"/>
    <row r="117" spans="7:7" x14ac:dyDescent="0.25"/>
    <row r="118" spans="7:7" x14ac:dyDescent="0.25"/>
    <row r="119" spans="7:7" x14ac:dyDescent="0.25"/>
    <row r="120" spans="7:7" x14ac:dyDescent="0.25"/>
    <row r="121" spans="7:7" x14ac:dyDescent="0.25"/>
    <row r="122" spans="7:7" x14ac:dyDescent="0.25"/>
    <row r="123" spans="7:7" x14ac:dyDescent="0.25"/>
    <row r="124" spans="7:7" x14ac:dyDescent="0.25"/>
    <row r="125" spans="7:7" x14ac:dyDescent="0.25"/>
    <row r="126" spans="7:7" x14ac:dyDescent="0.25"/>
    <row r="127" spans="7:7" x14ac:dyDescent="0.25"/>
    <row r="128" spans="7:7" x14ac:dyDescent="0.25"/>
    <row r="129" spans="7:7" x14ac:dyDescent="0.25"/>
    <row r="130" spans="7:7" x14ac:dyDescent="0.25"/>
    <row r="131" spans="7:7" x14ac:dyDescent="0.25"/>
    <row r="132" spans="7:7" x14ac:dyDescent="0.25"/>
    <row r="133" spans="7:7" x14ac:dyDescent="0.25"/>
    <row r="134" spans="7:7" x14ac:dyDescent="0.25"/>
    <row r="135" spans="7:7" x14ac:dyDescent="0.25"/>
    <row r="136" spans="7:7" x14ac:dyDescent="0.25"/>
    <row r="137" spans="7:7" x14ac:dyDescent="0.25"/>
    <row r="138" spans="7:7" x14ac:dyDescent="0.25"/>
    <row r="139" spans="7:7" x14ac:dyDescent="0.25"/>
    <row r="140" spans="7:7" x14ac:dyDescent="0.25"/>
    <row r="141" spans="7:7" x14ac:dyDescent="0.25"/>
    <row r="142" spans="7:7" x14ac:dyDescent="0.25"/>
    <row r="143" spans="7:7" x14ac:dyDescent="0.25"/>
    <row r="144" spans="7:7" x14ac:dyDescent="0.25"/>
    <row r="145" spans="7:7" x14ac:dyDescent="0.25"/>
    <row r="146" spans="7:7" x14ac:dyDescent="0.25"/>
    <row r="147" spans="7:7" x14ac:dyDescent="0.25"/>
    <row r="148" spans="7:7" x14ac:dyDescent="0.25"/>
    <row r="149" spans="7:7" x14ac:dyDescent="0.25"/>
    <row r="150" spans="7:7" x14ac:dyDescent="0.25"/>
    <row r="151" spans="7:7" x14ac:dyDescent="0.25"/>
    <row r="154" ht="24" customHeight="1" spans="1:9" x14ac:dyDescent="0.25">
      <c r="B154" s="7" t="s">
        <v>61</v>
      </c>
      <c r="G154" s="6">
        <f>SUM(G104:G151)</f>
        <v>13355198.6</v>
      </c>
      <c r="H154" s="6">
        <v>0</v>
      </c>
      <c r="I154" s="6">
        <v>0</v>
      </c>
    </row>
    <row r="157" ht="24" customHeight="1" spans="1:9" x14ac:dyDescent="0.25">
      <c r="B157" s="7" t="s">
        <v>62</v>
      </c>
    </row>
    <row r="158" spans="3:9" x14ac:dyDescent="0.25"/>
    <row r="159" ht="24" customHeight="1" spans="1:9" x14ac:dyDescent="0.25">
      <c r="B159" s="7" t="s">
        <v>63</v>
      </c>
    </row>
    <row r="160" spans="3:9" x14ac:dyDescent="0.25"/>
    <row r="161" ht="24" customHeight="1" spans="1:9" x14ac:dyDescent="0.25">
      <c r="A161" s="7" t="s">
        <v>12</v>
      </c>
      <c r="B161" s="7" t="s">
        <v>64</v>
      </c>
      <c r="C161" s="8">
        <v>12.7</v>
      </c>
      <c r="E161" s="9" t="s">
        <v>14</v>
      </c>
      <c r="F161" s="6">
        <f>F40</f>
        <v>30000</v>
      </c>
      <c r="G161" s="6">
        <f>ROUND(C161*F161,2)</f>
        <v>381000</v>
      </c>
      <c r="H161" s="6">
        <v>0</v>
      </c>
      <c r="I161" s="6">
        <v>0</v>
      </c>
    </row>
    <row r="162" spans="3:9" x14ac:dyDescent="0.25"/>
    <row r="163" spans="3:9" x14ac:dyDescent="0.25"/>
    <row r="164" ht="24" customHeight="1" spans="1:9" x14ac:dyDescent="0.25">
      <c r="A164" s="7" t="s">
        <v>15</v>
      </c>
      <c r="B164" s="7" t="s">
        <v>65</v>
      </c>
      <c r="C164" s="8">
        <v>24.84</v>
      </c>
      <c r="E164" s="9" t="s">
        <v>14</v>
      </c>
      <c r="F164" s="6">
        <f>F40</f>
        <v>30000</v>
      </c>
      <c r="G164" s="6">
        <f>ROUND(C164*F164,2)</f>
        <v>745200</v>
      </c>
      <c r="H164" s="6">
        <v>0</v>
      </c>
      <c r="I164" s="6">
        <v>0</v>
      </c>
    </row>
    <row r="165" spans="3:9" x14ac:dyDescent="0.25"/>
    <row r="166" spans="3:9" x14ac:dyDescent="0.25"/>
    <row r="167" ht="24" customHeight="1" spans="1:9" x14ac:dyDescent="0.25">
      <c r="A167" s="7" t="s">
        <v>17</v>
      </c>
      <c r="B167" s="7" t="s">
        <v>66</v>
      </c>
      <c r="C167" s="8">
        <v>16.56</v>
      </c>
      <c r="E167" s="9" t="s">
        <v>14</v>
      </c>
      <c r="F167" s="6">
        <f>F40</f>
        <v>30000</v>
      </c>
      <c r="G167" s="6">
        <f>ROUND(C167*F167,2)</f>
        <v>496800</v>
      </c>
      <c r="H167" s="6">
        <v>0</v>
      </c>
      <c r="I167" s="6">
        <v>0</v>
      </c>
    </row>
    <row r="168" spans="3:9" x14ac:dyDescent="0.25"/>
    <row r="169" spans="3:9" x14ac:dyDescent="0.25"/>
    <row r="170" ht="24" customHeight="1" spans="1:9" x14ac:dyDescent="0.25">
      <c r="A170" s="7" t="s">
        <v>19</v>
      </c>
      <c r="B170" s="7" t="s">
        <v>67</v>
      </c>
      <c r="C170" s="8">
        <v>3.3</v>
      </c>
      <c r="E170" s="9" t="s">
        <v>14</v>
      </c>
      <c r="F170" s="6">
        <f>F40</f>
        <v>30000</v>
      </c>
      <c r="G170" s="6">
        <f>ROUND(C170*F170,2)</f>
        <v>99000</v>
      </c>
      <c r="H170" s="6">
        <v>0</v>
      </c>
      <c r="I170" s="6">
        <v>0</v>
      </c>
    </row>
    <row r="171" spans="3:9" x14ac:dyDescent="0.25"/>
    <row r="172" spans="3:9" x14ac:dyDescent="0.25"/>
    <row r="173" ht="24" customHeight="1" spans="1:9" x14ac:dyDescent="0.25">
      <c r="A173" s="7" t="s">
        <v>21</v>
      </c>
      <c r="B173" s="7" t="s">
        <v>68</v>
      </c>
      <c r="C173" s="8">
        <v>0</v>
      </c>
      <c r="E173" s="9" t="s">
        <v>14</v>
      </c>
      <c r="F173" s="6">
        <f>F40</f>
        <v>30000</v>
      </c>
      <c r="G173" s="6">
        <f>ROUND(C173*F173,2)</f>
        <v>0</v>
      </c>
      <c r="H173" s="6">
        <v>0</v>
      </c>
      <c r="I173" s="6">
        <v>0</v>
      </c>
    </row>
    <row r="174" spans="3:9" x14ac:dyDescent="0.25"/>
    <row r="175" spans="3:9" x14ac:dyDescent="0.25"/>
    <row r="176" ht="24" customHeight="1" spans="1:9" x14ac:dyDescent="0.25">
      <c r="A176" s="7" t="s">
        <v>23</v>
      </c>
      <c r="B176" s="7" t="s">
        <v>69</v>
      </c>
      <c r="C176" s="8">
        <v>60</v>
      </c>
      <c r="E176" s="9" t="s">
        <v>14</v>
      </c>
      <c r="F176" s="6">
        <f>F40</f>
        <v>30000</v>
      </c>
      <c r="G176" s="6">
        <f>ROUND(C176*F176,2)</f>
        <v>1800000</v>
      </c>
      <c r="H176" s="6">
        <v>0</v>
      </c>
      <c r="I176" s="6">
        <v>0</v>
      </c>
    </row>
    <row r="177" spans="3:9" x14ac:dyDescent="0.25"/>
    <row r="178" spans="3:9" x14ac:dyDescent="0.25"/>
    <row r="179" ht="24" customHeight="1" spans="1:9" x14ac:dyDescent="0.25">
      <c r="B179" s="7" t="s">
        <v>41</v>
      </c>
    </row>
    <row r="180" spans="3:9" x14ac:dyDescent="0.25"/>
    <row r="181" ht="24" customHeight="1" spans="1:9" x14ac:dyDescent="0.25">
      <c r="A181" s="7" t="s">
        <v>31</v>
      </c>
      <c r="B181" s="7" t="s">
        <v>70</v>
      </c>
      <c r="C181" s="8">
        <v>220.8</v>
      </c>
      <c r="E181" s="9" t="s">
        <v>27</v>
      </c>
      <c r="F181" s="6">
        <f>F55</f>
        <v>1500</v>
      </c>
      <c r="G181" s="6">
        <f>ROUND(C181*F181,2)</f>
        <v>331200</v>
      </c>
      <c r="H181" s="6">
        <v>0</v>
      </c>
      <c r="I181" s="6">
        <v>0</v>
      </c>
    </row>
    <row r="182" spans="3:9" x14ac:dyDescent="0.25"/>
    <row r="183" spans="3:9" x14ac:dyDescent="0.25"/>
    <row r="184" ht="24" customHeight="1" spans="1:9" x14ac:dyDescent="0.25">
      <c r="A184" s="7" t="s">
        <v>34</v>
      </c>
      <c r="B184" s="7" t="s">
        <v>71</v>
      </c>
      <c r="C184" s="8">
        <v>271.2</v>
      </c>
      <c r="E184" s="9" t="s">
        <v>27</v>
      </c>
      <c r="F184" s="6">
        <f>F55</f>
        <v>1500</v>
      </c>
      <c r="G184" s="6">
        <f>ROUND(C184*F184,2)</f>
        <v>406800</v>
      </c>
      <c r="H184" s="6">
        <v>0</v>
      </c>
      <c r="I184" s="6">
        <v>0</v>
      </c>
    </row>
    <row r="185" spans="3:9" x14ac:dyDescent="0.25"/>
    <row r="186" spans="3:9" x14ac:dyDescent="0.25"/>
    <row r="187" ht="24" customHeight="1" spans="1:9" x14ac:dyDescent="0.25">
      <c r="A187" s="7" t="s">
        <v>36</v>
      </c>
      <c r="B187" s="7" t="s">
        <v>72</v>
      </c>
      <c r="C187" s="8">
        <v>199.2</v>
      </c>
      <c r="E187" s="9" t="s">
        <v>27</v>
      </c>
      <c r="F187" s="6">
        <f>F55</f>
        <v>1500</v>
      </c>
      <c r="G187" s="6">
        <f>ROUND(C187*F187,2)</f>
        <v>298800</v>
      </c>
      <c r="H187" s="6">
        <v>0</v>
      </c>
      <c r="I187" s="6">
        <v>0</v>
      </c>
    </row>
    <row r="188" spans="3:9" x14ac:dyDescent="0.25"/>
    <row r="189" spans="3:9" x14ac:dyDescent="0.25"/>
    <row r="190" ht="24" customHeight="1" spans="1:9" x14ac:dyDescent="0.25">
      <c r="A190" s="7" t="s">
        <v>38</v>
      </c>
      <c r="B190" s="7" t="s">
        <v>73</v>
      </c>
      <c r="C190" s="8">
        <v>0</v>
      </c>
      <c r="E190" s="9" t="s">
        <v>27</v>
      </c>
      <c r="F190" s="6">
        <f>F55</f>
        <v>1500</v>
      </c>
      <c r="G190" s="6">
        <f>ROUND(C190*F190,2)</f>
        <v>0</v>
      </c>
      <c r="H190" s="6">
        <v>0</v>
      </c>
      <c r="I190" s="6">
        <v>0</v>
      </c>
    </row>
    <row r="191" spans="3:9" x14ac:dyDescent="0.25"/>
    <row r="192" spans="3:9" x14ac:dyDescent="0.25"/>
    <row r="193" ht="24" customHeight="1" spans="1:9" x14ac:dyDescent="0.25">
      <c r="A193" s="7" t="s">
        <v>74</v>
      </c>
      <c r="B193" s="7" t="s">
        <v>75</v>
      </c>
      <c r="C193" s="8">
        <v>400</v>
      </c>
      <c r="E193" s="9" t="s">
        <v>27</v>
      </c>
      <c r="F193" s="6">
        <f>F55</f>
        <v>1500</v>
      </c>
      <c r="G193" s="6">
        <f>ROUND(C193*F193,2)</f>
        <v>600000</v>
      </c>
      <c r="H193" s="6">
        <v>0</v>
      </c>
      <c r="I193" s="6">
        <v>0</v>
      </c>
    </row>
    <row r="194" spans="3:9" x14ac:dyDescent="0.25"/>
    <row r="195" spans="3:9" x14ac:dyDescent="0.25"/>
    <row r="196" ht="24" customHeight="1" spans="1:9" x14ac:dyDescent="0.25">
      <c r="A196" s="7" t="s">
        <v>76</v>
      </c>
      <c r="B196" s="7" t="s">
        <v>77</v>
      </c>
      <c r="C196" s="8">
        <v>28</v>
      </c>
      <c r="E196" s="9" t="s">
        <v>27</v>
      </c>
      <c r="F196" s="6">
        <f>F55</f>
        <v>1500</v>
      </c>
      <c r="G196" s="6">
        <f>ROUND(C196*F196,2)</f>
        <v>42000</v>
      </c>
      <c r="H196" s="6">
        <v>0</v>
      </c>
      <c r="I196" s="6">
        <v>0</v>
      </c>
    </row>
    <row r="197" spans="3:9" x14ac:dyDescent="0.25"/>
    <row r="198" spans="3:9" x14ac:dyDescent="0.25"/>
    <row r="199" spans="3:9" x14ac:dyDescent="0.25"/>
    <row r="200" spans="3:9" x14ac:dyDescent="0.25"/>
    <row r="201" spans="3:9" x14ac:dyDescent="0.25"/>
    <row r="202" spans="3:9" x14ac:dyDescent="0.25"/>
    <row r="203" spans="3:9" x14ac:dyDescent="0.25"/>
    <row r="204" spans="3:9" x14ac:dyDescent="0.25"/>
    <row r="205" spans="7:7" x14ac:dyDescent="0.25"/>
    <row r="208" ht="24" customHeight="1" spans="1:9" x14ac:dyDescent="0.25">
      <c r="B208" s="7" t="s">
        <v>78</v>
      </c>
      <c r="G208" s="6">
        <f>SUM(G157:G205)</f>
        <v>5200800</v>
      </c>
      <c r="H208" s="6">
        <v>0</v>
      </c>
      <c r="I208" s="6">
        <v>0</v>
      </c>
    </row>
    <row r="211" ht="24" customHeight="1" spans="1:9" x14ac:dyDescent="0.25">
      <c r="B211" s="7" t="s">
        <v>44</v>
      </c>
    </row>
    <row r="212" ht="24" customHeight="1" spans="1:9" x14ac:dyDescent="0.25">
      <c r="B212" s="7" t="s">
        <v>45</v>
      </c>
    </row>
    <row r="213" ht="24" customHeight="1" spans="1:9" x14ac:dyDescent="0.25">
      <c r="B213" s="7" t="s">
        <v>79</v>
      </c>
    </row>
    <row r="214" spans="2:9" x14ac:dyDescent="0.25"/>
    <row r="215" spans="3:9" x14ac:dyDescent="0.25"/>
    <row r="216" ht="24" customHeight="1" spans="1:9" x14ac:dyDescent="0.25">
      <c r="A216" s="7" t="s">
        <v>12</v>
      </c>
      <c r="B216" s="7" t="s">
        <v>47</v>
      </c>
      <c r="C216" s="8">
        <v>6691.57</v>
      </c>
      <c r="E216" s="9" t="s">
        <v>48</v>
      </c>
      <c r="F216" s="6">
        <f>F64</f>
        <v>260</v>
      </c>
      <c r="G216" s="6">
        <f>ROUND(C216*F216,2)</f>
        <v>1739808.2</v>
      </c>
      <c r="H216" s="6">
        <v>0</v>
      </c>
      <c r="I216" s="6">
        <v>0</v>
      </c>
    </row>
    <row r="217" spans="3:9" x14ac:dyDescent="0.25"/>
    <row r="218" spans="3:9" x14ac:dyDescent="0.25"/>
    <row r="219" ht="24" customHeight="1" spans="1:9" x14ac:dyDescent="0.25">
      <c r="A219" s="7" t="s">
        <v>15</v>
      </c>
      <c r="B219" s="7" t="s">
        <v>80</v>
      </c>
      <c r="C219" s="8">
        <v>8922.1</v>
      </c>
      <c r="E219" s="9" t="s">
        <v>48</v>
      </c>
      <c r="F219" s="6">
        <f>F64</f>
        <v>260</v>
      </c>
      <c r="G219" s="6">
        <f>ROUND(C219*F219,2)</f>
        <v>2319746</v>
      </c>
      <c r="H219" s="6">
        <v>0</v>
      </c>
      <c r="I219" s="6">
        <v>0</v>
      </c>
    </row>
    <row r="220" spans="3:9" x14ac:dyDescent="0.25"/>
    <row r="221" spans="3:9" x14ac:dyDescent="0.25"/>
    <row r="222" ht="24" customHeight="1" spans="1:9" x14ac:dyDescent="0.25">
      <c r="A222" s="7" t="s">
        <v>17</v>
      </c>
      <c r="B222" s="7" t="s">
        <v>81</v>
      </c>
      <c r="C222" s="8">
        <v>4461.05</v>
      </c>
      <c r="E222" s="9" t="s">
        <v>48</v>
      </c>
      <c r="F222" s="6">
        <f>F64</f>
        <v>260</v>
      </c>
      <c r="G222" s="6">
        <f>ROUND(C222*F222,2)</f>
        <v>1159873</v>
      </c>
      <c r="H222" s="6">
        <v>0</v>
      </c>
      <c r="I222" s="6">
        <v>0</v>
      </c>
    </row>
    <row r="223" spans="3:9" x14ac:dyDescent="0.25"/>
    <row r="224" spans="3:9" x14ac:dyDescent="0.25"/>
    <row r="225" spans="3:9" x14ac:dyDescent="0.25"/>
    <row r="226" ht="24" customHeight="1" spans="1:9" x14ac:dyDescent="0.25">
      <c r="A226" s="7" t="s">
        <v>19</v>
      </c>
      <c r="B226" s="7" t="s">
        <v>51</v>
      </c>
      <c r="C226" s="8">
        <v>2230.52</v>
      </c>
      <c r="E226" s="9" t="s">
        <v>48</v>
      </c>
      <c r="F226" s="6">
        <f>F64</f>
        <v>260</v>
      </c>
      <c r="G226" s="6">
        <f>ROUND(C226*F226,2)</f>
        <v>579935.2</v>
      </c>
      <c r="H226" s="6">
        <v>0</v>
      </c>
      <c r="I226" s="6">
        <v>0</v>
      </c>
    </row>
    <row r="227" ht="6" customHeight="1" spans="1:9" x14ac:dyDescent="0.25">
      <c r="B227" s="7" t="s">
        <v>3</v>
      </c>
    </row>
    <row r="228" spans="3:9" x14ac:dyDescent="0.25"/>
    <row r="229" ht="32" customHeight="1" spans="1:9" x14ac:dyDescent="0.25">
      <c r="B229" s="7" t="s">
        <v>82</v>
      </c>
    </row>
    <row r="230" spans="3:9" x14ac:dyDescent="0.25"/>
    <row r="231" ht="24" customHeight="1" spans="1:9" x14ac:dyDescent="0.25">
      <c r="A231" s="7" t="s">
        <v>21</v>
      </c>
      <c r="B231" s="7" t="s">
        <v>83</v>
      </c>
      <c r="C231" s="8">
        <v>44.5</v>
      </c>
      <c r="E231" s="9" t="s">
        <v>38</v>
      </c>
      <c r="F231" s="6">
        <v>2500</v>
      </c>
      <c r="G231" s="6">
        <f>ROUND(C231*F231,2)</f>
        <v>111250</v>
      </c>
      <c r="H231" s="6">
        <v>0</v>
      </c>
      <c r="I231" s="6">
        <v>0</v>
      </c>
    </row>
    <row r="232" spans="3:9" x14ac:dyDescent="0.25"/>
    <row r="233" spans="3:9" x14ac:dyDescent="0.25"/>
    <row r="234" ht="32" customHeight="1" spans="1:9" x14ac:dyDescent="0.25">
      <c r="A234" s="7" t="s">
        <v>23</v>
      </c>
      <c r="B234" s="7" t="s">
        <v>84</v>
      </c>
      <c r="C234" s="8">
        <v>90</v>
      </c>
      <c r="E234" s="9" t="s">
        <v>38</v>
      </c>
      <c r="F234" s="6">
        <v>3500</v>
      </c>
      <c r="G234" s="6">
        <f>ROUND(C234*F234,2)</f>
        <v>315000</v>
      </c>
      <c r="H234" s="6">
        <v>0</v>
      </c>
      <c r="I234" s="6">
        <v>0</v>
      </c>
    </row>
    <row r="235" spans="3:9" x14ac:dyDescent="0.25"/>
    <row r="236" spans="3:9" x14ac:dyDescent="0.25"/>
    <row r="237" spans="3:9" x14ac:dyDescent="0.25"/>
    <row r="238" spans="3:9" x14ac:dyDescent="0.25"/>
    <row r="239" spans="3:9" x14ac:dyDescent="0.25"/>
    <row r="240" spans="3:9" x14ac:dyDescent="0.25"/>
    <row r="241" spans="3:9" x14ac:dyDescent="0.25"/>
    <row r="242" spans="3:9" x14ac:dyDescent="0.25"/>
    <row r="243" spans="3:9" x14ac:dyDescent="0.25"/>
    <row r="244" spans="3:9" x14ac:dyDescent="0.25"/>
    <row r="245" spans="3:9" x14ac:dyDescent="0.25"/>
    <row r="246" spans="3:9" x14ac:dyDescent="0.25"/>
    <row r="247" spans="7:7" x14ac:dyDescent="0.25"/>
    <row r="248" spans="3:9" x14ac:dyDescent="0.25"/>
    <row r="249" spans="3:9" x14ac:dyDescent="0.25"/>
    <row r="250" spans="3:9" x14ac:dyDescent="0.25"/>
    <row r="251" spans="3:9" x14ac:dyDescent="0.25"/>
    <row r="252" spans="3:9" x14ac:dyDescent="0.25"/>
    <row r="253" spans="3:9" x14ac:dyDescent="0.25"/>
    <row r="254" spans="3:9" x14ac:dyDescent="0.25"/>
    <row r="255" spans="3:9" x14ac:dyDescent="0.25"/>
    <row r="256" spans="3:9" x14ac:dyDescent="0.25"/>
    <row r="259" ht="24" customHeight="1" spans="1:9" x14ac:dyDescent="0.25">
      <c r="B259" s="7" t="s">
        <v>85</v>
      </c>
      <c r="G259" s="6">
        <f>SUM(G211:G256)</f>
        <v>6225612.4</v>
      </c>
      <c r="H259" s="6">
        <v>0</v>
      </c>
      <c r="I259" s="6">
        <v>0</v>
      </c>
    </row>
    <row r="266" spans="7:7" x14ac:dyDescent="0.25"/>
    <row r="267" ht="24" customHeight="1" spans="1:9" x14ac:dyDescent="0.25">
      <c r="B267" s="7" t="s">
        <v>86</v>
      </c>
    </row>
    <row r="268" spans="7:7" x14ac:dyDescent="0.25"/>
    <row r="269" spans="7:7" x14ac:dyDescent="0.25"/>
    <row r="270" spans="7:7" x14ac:dyDescent="0.25"/>
    <row r="271" spans="7:7" x14ac:dyDescent="0.25"/>
    <row r="272" spans="7:7" x14ac:dyDescent="0.25"/>
    <row r="273" ht="24" customHeight="1" spans="1:9" x14ac:dyDescent="0.25">
      <c r="B273" s="7" t="s">
        <v>87</v>
      </c>
      <c r="G273" s="6">
        <f>G208</f>
        <v>5200800</v>
      </c>
      <c r="H273" s="6">
        <v>0</v>
      </c>
      <c r="I273" s="6">
        <v>0</v>
      </c>
    </row>
    <row r="274" spans="7:7" x14ac:dyDescent="0.25"/>
    <row r="275" spans="7:7" x14ac:dyDescent="0.25"/>
    <row r="276" spans="7:7" x14ac:dyDescent="0.25"/>
    <row r="277" spans="7:7" x14ac:dyDescent="0.25"/>
    <row r="278" ht="24" customHeight="1" spans="1:9" x14ac:dyDescent="0.25">
      <c r="B278" s="7" t="s">
        <v>88</v>
      </c>
      <c r="G278" s="6">
        <f>G259</f>
        <v>6225612.4</v>
      </c>
      <c r="H278" s="6">
        <v>0</v>
      </c>
      <c r="I278" s="6">
        <v>0</v>
      </c>
    </row>
    <row r="279" spans="7:7" x14ac:dyDescent="0.25"/>
    <row r="280" spans="7:7" x14ac:dyDescent="0.25"/>
    <row r="281" spans="7:7" x14ac:dyDescent="0.25"/>
    <row r="282" spans="7:7" x14ac:dyDescent="0.25"/>
    <row r="283" spans="7:7" x14ac:dyDescent="0.25"/>
    <row r="284" spans="7:7" x14ac:dyDescent="0.25"/>
    <row r="285" spans="7:7" x14ac:dyDescent="0.25"/>
    <row r="286" spans="7:7" x14ac:dyDescent="0.25"/>
    <row r="287" spans="7:7" x14ac:dyDescent="0.25"/>
    <row r="288" spans="7:7" x14ac:dyDescent="0.25"/>
    <row r="289" spans="7:7" x14ac:dyDescent="0.25"/>
    <row r="290" spans="7:7" x14ac:dyDescent="0.25"/>
    <row r="291" spans="7:7" x14ac:dyDescent="0.25"/>
    <row r="292" spans="7:7" x14ac:dyDescent="0.25"/>
    <row r="293" spans="7:7" x14ac:dyDescent="0.25"/>
    <row r="294" spans="7:7" x14ac:dyDescent="0.25"/>
    <row r="295" spans="7:7" x14ac:dyDescent="0.25"/>
    <row r="296" spans="7:7" x14ac:dyDescent="0.25"/>
    <row r="297" spans="7:7" x14ac:dyDescent="0.25"/>
    <row r="298" spans="7:7" x14ac:dyDescent="0.25"/>
    <row r="299" spans="7:7" x14ac:dyDescent="0.25"/>
    <row r="300" spans="7:7" x14ac:dyDescent="0.25"/>
    <row r="301" spans="7:7" x14ac:dyDescent="0.25"/>
    <row r="302" spans="7:7" x14ac:dyDescent="0.25"/>
    <row r="303" spans="7:7" x14ac:dyDescent="0.25"/>
    <row r="304" spans="7:7" x14ac:dyDescent="0.25"/>
    <row r="305" spans="7:7" x14ac:dyDescent="0.25"/>
    <row r="306" spans="7:7" x14ac:dyDescent="0.25"/>
    <row r="307" spans="7:7" x14ac:dyDescent="0.25"/>
    <row r="311" ht="24" customHeight="1" spans="1:9" x14ac:dyDescent="0.25">
      <c r="B311" s="7" t="s">
        <v>89</v>
      </c>
      <c r="G311" s="6">
        <f>SUM(G266:G307)</f>
        <v>11426412.4</v>
      </c>
      <c r="H311" s="6">
        <v>0</v>
      </c>
      <c r="I311" s="6">
        <v>0</v>
      </c>
    </row>
    <row r="314" ht="24" customHeight="1" spans="1:9" x14ac:dyDescent="0.25">
      <c r="B314" s="7" t="s">
        <v>90</v>
      </c>
    </row>
    <row r="315" spans="7:7" x14ac:dyDescent="0.25"/>
    <row r="316" ht="64" customHeight="1" spans="1:9" x14ac:dyDescent="0.25">
      <c r="B316" s="7" t="s">
        <v>91</v>
      </c>
    </row>
    <row r="317" spans="7:7" x14ac:dyDescent="0.25"/>
    <row r="318" spans="7:7" x14ac:dyDescent="0.25"/>
    <row r="319" ht="24" customHeight="1" spans="1:9" x14ac:dyDescent="0.25">
      <c r="A319" s="7" t="s">
        <v>12</v>
      </c>
      <c r="B319" s="7" t="s">
        <v>92</v>
      </c>
      <c r="C319" s="8">
        <v>571.58</v>
      </c>
      <c r="E319" s="9" t="s">
        <v>27</v>
      </c>
      <c r="F319" s="6">
        <v>3800</v>
      </c>
      <c r="G319" s="6">
        <f>ROUND(C319*F319,2)</f>
        <v>2172004</v>
      </c>
      <c r="H319" s="6">
        <v>0</v>
      </c>
      <c r="I319" s="6">
        <v>0</v>
      </c>
    </row>
    <row r="320" spans="3:9" x14ac:dyDescent="0.25"/>
    <row r="321" ht="24" customHeight="1" spans="1:9" x14ac:dyDescent="0.25">
      <c r="B321" s="7" t="s">
        <v>93</v>
      </c>
    </row>
    <row r="322" ht="24" customHeight="1" spans="1:9" x14ac:dyDescent="0.25">
      <c r="B322" s="7" t="s">
        <v>94</v>
      </c>
    </row>
    <row r="323" spans="3:9" x14ac:dyDescent="0.25"/>
    <row r="324" ht="24" customHeight="1" spans="1:9" x14ac:dyDescent="0.25">
      <c r="A324" s="7" t="s">
        <v>15</v>
      </c>
      <c r="B324" s="7" t="s">
        <v>95</v>
      </c>
      <c r="C324" s="8">
        <v>55</v>
      </c>
      <c r="E324" s="9" t="s">
        <v>38</v>
      </c>
      <c r="F324" s="6">
        <f>F319*0.6</f>
        <v>2280</v>
      </c>
      <c r="G324" s="6">
        <f>ROUND(C324*F324,2)</f>
        <v>125400</v>
      </c>
      <c r="H324" s="6">
        <v>0</v>
      </c>
      <c r="I324" s="6">
        <v>0</v>
      </c>
    </row>
    <row r="325" spans="3:9" x14ac:dyDescent="0.25"/>
    <row r="326" spans="3:9" x14ac:dyDescent="0.25"/>
    <row r="327" ht="24" customHeight="1" spans="1:9" x14ac:dyDescent="0.25">
      <c r="A327" s="7" t="s">
        <v>17</v>
      </c>
      <c r="B327" s="7" t="s">
        <v>96</v>
      </c>
      <c r="C327" s="8">
        <v>110</v>
      </c>
      <c r="E327" s="9" t="s">
        <v>38</v>
      </c>
      <c r="F327" s="6">
        <f>F319*0.3</f>
        <v>1140</v>
      </c>
      <c r="G327" s="6">
        <f>ROUND(C327*F327,2)</f>
        <v>125400</v>
      </c>
      <c r="H327" s="6">
        <v>0</v>
      </c>
      <c r="I327" s="6">
        <v>0</v>
      </c>
    </row>
    <row r="328" spans="3:9" x14ac:dyDescent="0.25"/>
    <row r="329" spans="3:9" x14ac:dyDescent="0.25"/>
    <row r="330" ht="24" customHeight="1" spans="1:9" x14ac:dyDescent="0.25">
      <c r="A330" s="7" t="s">
        <v>19</v>
      </c>
      <c r="B330" s="7" t="s">
        <v>97</v>
      </c>
      <c r="C330" s="8">
        <v>0</v>
      </c>
      <c r="E330" s="9" t="s">
        <v>38</v>
      </c>
      <c r="F330" s="6">
        <f>F324</f>
        <v>2280</v>
      </c>
      <c r="G330" s="6">
        <f>ROUND(C330*F330,2)</f>
        <v>0</v>
      </c>
      <c r="H330" s="6">
        <v>0</v>
      </c>
      <c r="I330" s="6">
        <v>0</v>
      </c>
    </row>
    <row r="331" spans="3:9" x14ac:dyDescent="0.25"/>
    <row r="332" spans="3:9" x14ac:dyDescent="0.25"/>
    <row r="333" ht="24" customHeight="1" spans="1:9" x14ac:dyDescent="0.25">
      <c r="A333" s="7" t="s">
        <v>21</v>
      </c>
      <c r="B333" s="7" t="s">
        <v>98</v>
      </c>
      <c r="C333" s="8">
        <v>103.92</v>
      </c>
      <c r="E333" s="9" t="s">
        <v>38</v>
      </c>
      <c r="F333" s="6">
        <f>F319*0.45</f>
        <v>1710</v>
      </c>
      <c r="G333" s="6">
        <f>ROUND(C333*F333,2)</f>
        <v>177703.2</v>
      </c>
      <c r="H333" s="6">
        <v>0</v>
      </c>
      <c r="I333" s="6">
        <v>0</v>
      </c>
    </row>
    <row r="334" spans="3:9" x14ac:dyDescent="0.25"/>
    <row r="335" spans="3:9" x14ac:dyDescent="0.25"/>
    <row r="336" ht="24" customHeight="1" spans="1:9" x14ac:dyDescent="0.25">
      <c r="B336" s="7" t="s">
        <v>99</v>
      </c>
    </row>
    <row r="337" spans="3:9" x14ac:dyDescent="0.25"/>
    <row r="338" ht="24" customHeight="1" spans="1:9" x14ac:dyDescent="0.25">
      <c r="A338" s="7" t="s">
        <v>23</v>
      </c>
      <c r="B338" s="7" t="s">
        <v>100</v>
      </c>
      <c r="C338" s="8">
        <v>180</v>
      </c>
      <c r="E338" s="9" t="s">
        <v>38</v>
      </c>
      <c r="F338" s="6">
        <v>250</v>
      </c>
      <c r="G338" s="6">
        <f>ROUND(C338*F338,2)</f>
        <v>45000</v>
      </c>
      <c r="H338" s="6">
        <v>0</v>
      </c>
      <c r="I338" s="6">
        <v>0</v>
      </c>
    </row>
    <row r="339" spans="3:9" x14ac:dyDescent="0.25"/>
    <row r="340" spans="3:9" x14ac:dyDescent="0.25"/>
    <row r="341" ht="24" customHeight="1" spans="1:9" x14ac:dyDescent="0.25">
      <c r="A341" s="7" t="s">
        <v>25</v>
      </c>
      <c r="B341" s="7" t="s">
        <v>101</v>
      </c>
      <c r="C341" s="8">
        <v>1039.23</v>
      </c>
      <c r="E341" s="9" t="s">
        <v>38</v>
      </c>
      <c r="F341" s="6">
        <v>300</v>
      </c>
      <c r="G341" s="6">
        <f>ROUND(C341*F341,2)</f>
        <v>311769</v>
      </c>
      <c r="H341" s="6">
        <v>0</v>
      </c>
      <c r="I341" s="6">
        <v>0</v>
      </c>
    </row>
    <row r="342" spans="3:9" x14ac:dyDescent="0.25"/>
    <row r="343" spans="3:9" x14ac:dyDescent="0.25"/>
    <row r="344" ht="24" customHeight="1" spans="1:9" x14ac:dyDescent="0.25">
      <c r="A344" s="7" t="s">
        <v>29</v>
      </c>
      <c r="B344" s="7" t="s">
        <v>102</v>
      </c>
      <c r="C344" s="8">
        <v>900</v>
      </c>
      <c r="E344" s="9" t="s">
        <v>38</v>
      </c>
      <c r="F344" s="6">
        <v>300</v>
      </c>
      <c r="G344" s="6">
        <f>ROUND(C344*F344,2)</f>
        <v>270000</v>
      </c>
      <c r="H344" s="6">
        <v>0</v>
      </c>
      <c r="I344" s="6">
        <v>0</v>
      </c>
    </row>
    <row r="345" spans="3:9" x14ac:dyDescent="0.25"/>
    <row r="346" spans="3:9" x14ac:dyDescent="0.25"/>
    <row r="347" ht="24" customHeight="1" spans="1:9" x14ac:dyDescent="0.25">
      <c r="A347" s="7" t="s">
        <v>31</v>
      </c>
      <c r="B347" s="7" t="s">
        <v>103</v>
      </c>
      <c r="C347" s="8">
        <v>400</v>
      </c>
      <c r="E347" s="9" t="s">
        <v>38</v>
      </c>
      <c r="F347" s="6">
        <v>200</v>
      </c>
      <c r="G347" s="6">
        <f>ROUND(C347*F347,2)</f>
        <v>80000</v>
      </c>
      <c r="H347" s="6">
        <v>0</v>
      </c>
      <c r="I347" s="6">
        <v>0</v>
      </c>
    </row>
    <row r="348" spans="3:9" x14ac:dyDescent="0.25"/>
    <row r="349" spans="3:9" x14ac:dyDescent="0.25"/>
    <row r="350" ht="24" customHeight="1" spans="1:9" x14ac:dyDescent="0.25">
      <c r="A350" s="7" t="s">
        <v>34</v>
      </c>
      <c r="B350" s="7" t="s">
        <v>104</v>
      </c>
      <c r="C350" s="8">
        <v>550</v>
      </c>
      <c r="E350" s="9" t="s">
        <v>38</v>
      </c>
      <c r="F350" s="6">
        <v>250</v>
      </c>
      <c r="G350" s="6">
        <f>ROUND(C350*F350,2)</f>
        <v>137500</v>
      </c>
      <c r="H350" s="6">
        <v>0</v>
      </c>
      <c r="I350" s="6">
        <v>0</v>
      </c>
    </row>
    <row r="351" spans="3:9" x14ac:dyDescent="0.25"/>
    <row r="352" spans="3:9" x14ac:dyDescent="0.25"/>
    <row r="353" ht="24" customHeight="1" spans="1:9" x14ac:dyDescent="0.25">
      <c r="B353" s="7" t="s">
        <v>105</v>
      </c>
      <c r="C353" s="8">
        <v>1416.67</v>
      </c>
      <c r="E353" s="9" t="s">
        <v>38</v>
      </c>
      <c r="F353" s="6">
        <v>175</v>
      </c>
      <c r="G353" s="6">
        <f>ROUND(C353*F353,2)</f>
        <v>247917.25</v>
      </c>
      <c r="H353" s="6">
        <v>0</v>
      </c>
      <c r="I353" s="6">
        <v>0</v>
      </c>
    </row>
    <row r="354" spans="3:9" x14ac:dyDescent="0.25"/>
    <row r="355" ht="6" customHeight="1" spans="1:9" x14ac:dyDescent="0.25">
      <c r="B355" s="7" t="s">
        <v>3</v>
      </c>
    </row>
    <row r="356" spans="3:9" x14ac:dyDescent="0.25"/>
    <row r="357" spans="3:9" x14ac:dyDescent="0.25"/>
    <row r="360" ht="24" customHeight="1" spans="1:9" x14ac:dyDescent="0.25">
      <c r="B360" s="7" t="s">
        <v>106</v>
      </c>
      <c r="G360" s="6">
        <f>SUM(G315:G357)</f>
        <v>3692693.45</v>
      </c>
      <c r="H360" s="6">
        <v>0</v>
      </c>
      <c r="I360" s="6">
        <v>0</v>
      </c>
    </row>
    <row r="363" spans="3:9" x14ac:dyDescent="0.25"/>
    <row r="364" spans="3:9" x14ac:dyDescent="0.25"/>
    <row r="365" ht="32" customHeight="1" spans="1:9" x14ac:dyDescent="0.25">
      <c r="A365" s="7" t="s">
        <v>12</v>
      </c>
      <c r="B365" s="7" t="s">
        <v>107</v>
      </c>
      <c r="C365" s="8">
        <v>213.92</v>
      </c>
      <c r="E365" s="9" t="s">
        <v>38</v>
      </c>
      <c r="F365" s="6">
        <v>350</v>
      </c>
      <c r="G365" s="6">
        <f>ROUND(C365*F365,2)</f>
        <v>74872</v>
      </c>
      <c r="H365" s="6">
        <v>0</v>
      </c>
      <c r="I365" s="6">
        <v>0</v>
      </c>
    </row>
    <row r="366" spans="3:9" x14ac:dyDescent="0.25"/>
    <row r="367" spans="3:9" x14ac:dyDescent="0.25"/>
    <row r="368" ht="64" customHeight="1" spans="1:9" x14ac:dyDescent="0.25">
      <c r="A368" s="7" t="s">
        <v>15</v>
      </c>
      <c r="B368" s="7" t="s">
        <v>108</v>
      </c>
      <c r="C368" s="8">
        <v>5</v>
      </c>
      <c r="E368" s="9" t="s">
        <v>109</v>
      </c>
      <c r="F368" s="6">
        <v>30000</v>
      </c>
      <c r="G368" s="6">
        <f>ROUND(C368*F368,2)</f>
        <v>150000</v>
      </c>
      <c r="H368" s="6">
        <v>0</v>
      </c>
      <c r="I368" s="6">
        <v>0</v>
      </c>
    </row>
    <row r="369" spans="3:9" x14ac:dyDescent="0.25"/>
    <row r="370" spans="3:9" x14ac:dyDescent="0.25"/>
    <row r="371" spans="3:9" x14ac:dyDescent="0.25"/>
    <row r="372" spans="3:9" x14ac:dyDescent="0.25"/>
    <row r="373" spans="3:9" x14ac:dyDescent="0.25"/>
    <row r="374" spans="3:9" x14ac:dyDescent="0.25"/>
    <row r="375" spans="3:9" x14ac:dyDescent="0.25"/>
    <row r="376" spans="3:9" x14ac:dyDescent="0.25"/>
    <row r="377" spans="3:9" x14ac:dyDescent="0.25"/>
    <row r="378" spans="3:9" x14ac:dyDescent="0.25"/>
    <row r="379" spans="3:9" x14ac:dyDescent="0.25"/>
    <row r="380" spans="3:9" x14ac:dyDescent="0.25"/>
    <row r="381" spans="3:9" x14ac:dyDescent="0.25"/>
    <row r="382" spans="3:9" x14ac:dyDescent="0.25"/>
    <row r="383" spans="3:9" x14ac:dyDescent="0.25"/>
    <row r="384" spans="3:9" x14ac:dyDescent="0.25"/>
    <row r="385" spans="3:9" x14ac:dyDescent="0.25"/>
    <row r="386" spans="3:9" x14ac:dyDescent="0.25"/>
    <row r="387" spans="3:9" x14ac:dyDescent="0.25"/>
    <row r="388" spans="3:9" x14ac:dyDescent="0.25"/>
    <row r="389" spans="3:9" x14ac:dyDescent="0.25"/>
    <row r="390" spans="3:9" x14ac:dyDescent="0.25"/>
    <row r="391" spans="3:9" x14ac:dyDescent="0.25"/>
    <row r="392" spans="7:7" x14ac:dyDescent="0.25"/>
    <row r="393" spans="7:7" x14ac:dyDescent="0.25"/>
    <row r="394" spans="7:7" x14ac:dyDescent="0.25"/>
    <row r="395" spans="7:7" x14ac:dyDescent="0.25"/>
    <row r="396" spans="7:7" x14ac:dyDescent="0.25"/>
    <row r="397" spans="7:7" x14ac:dyDescent="0.25"/>
    <row r="398" spans="7:7" x14ac:dyDescent="0.25"/>
    <row r="399" spans="7:7" x14ac:dyDescent="0.25"/>
    <row r="400" spans="7:7" x14ac:dyDescent="0.25"/>
    <row r="401" spans="7:7" x14ac:dyDescent="0.25"/>
    <row r="402" spans="7:7" x14ac:dyDescent="0.25"/>
    <row r="403" spans="7:7" x14ac:dyDescent="0.25"/>
    <row r="404" spans="7:7" x14ac:dyDescent="0.25"/>
    <row r="405" spans="7:7" x14ac:dyDescent="0.25"/>
    <row r="409" ht="24" customHeight="1" spans="1:9" x14ac:dyDescent="0.25">
      <c r="B409" s="7" t="s">
        <v>110</v>
      </c>
      <c r="G409" s="6">
        <f>SUM(G363:G405)</f>
        <v>224872</v>
      </c>
      <c r="H409" s="6">
        <v>0</v>
      </c>
      <c r="I409" s="6">
        <v>0</v>
      </c>
    </row>
    <row r="412" ht="24" customHeight="1" spans="1:9" x14ac:dyDescent="0.25">
      <c r="B412" s="7" t="s">
        <v>111</v>
      </c>
    </row>
    <row r="418" spans="7:7" x14ac:dyDescent="0.25"/>
    <row r="419" ht="24" customHeight="1" spans="1:9" x14ac:dyDescent="0.25">
      <c r="B419" s="7" t="s">
        <v>58</v>
      </c>
    </row>
    <row r="420" spans="7:7" x14ac:dyDescent="0.25"/>
    <row r="421" spans="7:7" x14ac:dyDescent="0.25"/>
    <row r="422" spans="7:7" x14ac:dyDescent="0.25"/>
    <row r="423" ht="24" customHeight="1" spans="1:9" x14ac:dyDescent="0.25">
      <c r="B423" s="7" t="s">
        <v>112</v>
      </c>
      <c r="G423" s="6">
        <f>G360</f>
        <v>3692693.45</v>
      </c>
      <c r="H423" s="6">
        <v>0</v>
      </c>
      <c r="I423" s="6">
        <v>0</v>
      </c>
    </row>
    <row r="424" spans="7:7" x14ac:dyDescent="0.25"/>
    <row r="425" spans="7:7" x14ac:dyDescent="0.25"/>
    <row r="426" spans="7:7" x14ac:dyDescent="0.25"/>
    <row r="427" spans="7:7" x14ac:dyDescent="0.25"/>
    <row r="428" ht="24" customHeight="1" spans="1:9" x14ac:dyDescent="0.25">
      <c r="B428" s="7" t="s">
        <v>113</v>
      </c>
      <c r="G428" s="6">
        <f>G409</f>
        <v>224872</v>
      </c>
      <c r="H428" s="6">
        <v>0</v>
      </c>
      <c r="I428" s="6">
        <v>0</v>
      </c>
    </row>
    <row r="429" spans="7:7" x14ac:dyDescent="0.25"/>
    <row r="430" spans="7:9" x14ac:dyDescent="0.25"/>
    <row r="431" spans="7:7" x14ac:dyDescent="0.25"/>
    <row r="432" spans="7:7" x14ac:dyDescent="0.25"/>
    <row r="433" spans="7:7" x14ac:dyDescent="0.25"/>
    <row r="434" spans="7:7" x14ac:dyDescent="0.25"/>
    <row r="435" spans="7:7" x14ac:dyDescent="0.25"/>
    <row r="436" spans="7:7" x14ac:dyDescent="0.25"/>
    <row r="437" spans="7:7" x14ac:dyDescent="0.25"/>
    <row r="438" spans="7:7" x14ac:dyDescent="0.25"/>
    <row r="439" spans="7:7" x14ac:dyDescent="0.25"/>
    <row r="440" spans="7:7" x14ac:dyDescent="0.25"/>
    <row r="441" spans="7:7" x14ac:dyDescent="0.25"/>
    <row r="442" spans="7:7" x14ac:dyDescent="0.25"/>
    <row r="443" spans="7:7" x14ac:dyDescent="0.25"/>
    <row r="444" spans="7:7" x14ac:dyDescent="0.25"/>
    <row r="445" spans="7:7" x14ac:dyDescent="0.25"/>
    <row r="446" spans="7:7" x14ac:dyDescent="0.25"/>
    <row r="447" spans="7:7" x14ac:dyDescent="0.25"/>
    <row r="448" spans="7:7" x14ac:dyDescent="0.25"/>
    <row r="449" spans="7:7" x14ac:dyDescent="0.25"/>
    <row r="450" spans="7:7" x14ac:dyDescent="0.25"/>
    <row r="451" spans="7:7" x14ac:dyDescent="0.25"/>
    <row r="452" spans="7:7" x14ac:dyDescent="0.25"/>
    <row r="453" spans="7:7" x14ac:dyDescent="0.25"/>
    <row r="454" spans="7:7" x14ac:dyDescent="0.25"/>
    <row r="455" spans="7:7" x14ac:dyDescent="0.25"/>
    <row r="456" spans="7:7" x14ac:dyDescent="0.25"/>
    <row r="457" spans="7:7" x14ac:dyDescent="0.25"/>
    <row r="458" spans="7:7" x14ac:dyDescent="0.25"/>
    <row r="459" spans="7:7" x14ac:dyDescent="0.25"/>
    <row r="460" spans="7:7" x14ac:dyDescent="0.25"/>
    <row r="463" ht="24" customHeight="1" spans="1:9" x14ac:dyDescent="0.25">
      <c r="B463" s="7" t="s">
        <v>114</v>
      </c>
      <c r="G463" s="6">
        <f>SUM(G418:G460)</f>
        <v>3917565.45</v>
      </c>
      <c r="H463" s="6">
        <v>0</v>
      </c>
      <c r="I463" s="6">
        <v>0</v>
      </c>
    </row>
    <row r="466" ht="24" customHeight="1" spans="1:9" x14ac:dyDescent="0.25">
      <c r="B466" s="7" t="s">
        <v>115</v>
      </c>
    </row>
    <row r="467" spans="7:7" x14ac:dyDescent="0.25"/>
    <row r="468" ht="24" customHeight="1" spans="1:9" x14ac:dyDescent="0.25">
      <c r="B468" s="7" t="s">
        <v>116</v>
      </c>
    </row>
    <row r="469" spans="7:7" x14ac:dyDescent="0.25"/>
    <row r="470" spans="7:7" x14ac:dyDescent="0.25"/>
    <row r="471" ht="24" customHeight="1" spans="1:9" x14ac:dyDescent="0.25">
      <c r="A471" s="7" t="s">
        <v>12</v>
      </c>
      <c r="B471" s="7" t="s">
        <v>117</v>
      </c>
      <c r="C471" s="8">
        <v>980.11</v>
      </c>
      <c r="E471" s="9" t="s">
        <v>27</v>
      </c>
      <c r="F471" s="6">
        <v>3500</v>
      </c>
      <c r="G471" s="6">
        <f>ROUND(C471*F471,2)</f>
        <v>3430385</v>
      </c>
      <c r="H471" s="6">
        <v>0</v>
      </c>
      <c r="I471" s="6">
        <v>0</v>
      </c>
    </row>
    <row r="472" spans="7:7" x14ac:dyDescent="0.25"/>
    <row r="473" spans="3:9" x14ac:dyDescent="0.25"/>
    <row r="474" ht="24" customHeight="1" spans="1:9" x14ac:dyDescent="0.25">
      <c r="A474" s="7" t="s">
        <v>15</v>
      </c>
      <c r="B474" s="7" t="s">
        <v>118</v>
      </c>
      <c r="C474" s="8">
        <v>1119.68</v>
      </c>
      <c r="E474" s="9" t="s">
        <v>27</v>
      </c>
      <c r="F474" s="6">
        <v>3000</v>
      </c>
      <c r="G474" s="6">
        <f>ROUND(C474*F474,2)</f>
        <v>3359040</v>
      </c>
      <c r="H474" s="6">
        <v>0</v>
      </c>
      <c r="I474" s="6">
        <v>0</v>
      </c>
    </row>
    <row r="475" spans="3:9" x14ac:dyDescent="0.25"/>
    <row r="476" ht="6" customHeight="1" spans="1:9" x14ac:dyDescent="0.25">
      <c r="B476" s="7" t="s">
        <v>3</v>
      </c>
    </row>
    <row r="477" spans="3:9" x14ac:dyDescent="0.25"/>
    <row r="478" spans="3:9" x14ac:dyDescent="0.25"/>
    <row r="479" ht="48" customHeight="1" spans="1:9" x14ac:dyDescent="0.25">
      <c r="B479" s="7" t="s">
        <v>119</v>
      </c>
    </row>
    <row r="480" spans="3:9" x14ac:dyDescent="0.25"/>
    <row r="481" ht="24" customHeight="1" spans="1:9" x14ac:dyDescent="0.25">
      <c r="A481" s="7" t="s">
        <v>17</v>
      </c>
      <c r="B481" s="7" t="s">
        <v>120</v>
      </c>
      <c r="C481" s="8">
        <v>5</v>
      </c>
      <c r="E481" s="9" t="s">
        <v>109</v>
      </c>
      <c r="F481" s="6">
        <v>35000</v>
      </c>
      <c r="G481" s="6">
        <f>ROUND(C481*F481,2)</f>
        <v>175000</v>
      </c>
      <c r="H481" s="6">
        <v>0</v>
      </c>
      <c r="I481" s="6">
        <v>0</v>
      </c>
    </row>
    <row r="482" spans="3:9" x14ac:dyDescent="0.25"/>
    <row r="483" spans="3:9" x14ac:dyDescent="0.25"/>
    <row r="484" ht="24" customHeight="1" spans="1:9" x14ac:dyDescent="0.25">
      <c r="A484" s="7" t="s">
        <v>19</v>
      </c>
      <c r="B484" s="7" t="s">
        <v>121</v>
      </c>
      <c r="C484" s="8">
        <v>10</v>
      </c>
      <c r="E484" s="9" t="s">
        <v>109</v>
      </c>
      <c r="F484" s="6">
        <v>40000</v>
      </c>
      <c r="G484" s="6">
        <f>ROUND(C484*F484,2)</f>
        <v>400000</v>
      </c>
      <c r="H484" s="6">
        <v>0</v>
      </c>
      <c r="I484" s="6">
        <v>0</v>
      </c>
    </row>
    <row r="485" spans="7:7" x14ac:dyDescent="0.25"/>
    <row r="486" spans="7:7" x14ac:dyDescent="0.25"/>
    <row r="487" ht="24" customHeight="1" spans="1:9" x14ac:dyDescent="0.25">
      <c r="A487" s="7" t="s">
        <v>21</v>
      </c>
      <c r="B487" s="7" t="s">
        <v>122</v>
      </c>
      <c r="C487" s="8">
        <v>5</v>
      </c>
      <c r="E487" s="9" t="s">
        <v>109</v>
      </c>
      <c r="F487" s="6">
        <f>40000*1.2*1.8</f>
        <v>86400</v>
      </c>
      <c r="G487" s="6">
        <f>ROUND(C487*F487,2)</f>
        <v>432000</v>
      </c>
      <c r="H487" s="6">
        <v>0</v>
      </c>
      <c r="I487" s="6">
        <v>0</v>
      </c>
    </row>
    <row r="488" spans="3:9" x14ac:dyDescent="0.25"/>
    <row r="489" spans="3:9" x14ac:dyDescent="0.25"/>
    <row r="490" ht="24" customHeight="1" spans="1:9" x14ac:dyDescent="0.25">
      <c r="A490" s="7" t="s">
        <v>23</v>
      </c>
      <c r="B490" s="7" t="s">
        <v>123</v>
      </c>
      <c r="C490" s="8">
        <v>10</v>
      </c>
      <c r="E490" s="9" t="s">
        <v>109</v>
      </c>
      <c r="F490" s="6">
        <v>90000</v>
      </c>
      <c r="G490" s="6">
        <f>ROUND(C490*F490,2)</f>
        <v>900000</v>
      </c>
      <c r="H490" s="6">
        <v>0</v>
      </c>
      <c r="I490" s="6">
        <v>0</v>
      </c>
    </row>
    <row r="491" spans="3:9" x14ac:dyDescent="0.25"/>
    <row r="492" spans="3:9" x14ac:dyDescent="0.25"/>
    <row r="493" ht="24" customHeight="1" spans="1:9" x14ac:dyDescent="0.25">
      <c r="A493" s="7" t="s">
        <v>25</v>
      </c>
      <c r="B493" s="7" t="s">
        <v>124</v>
      </c>
      <c r="C493" s="8">
        <v>5</v>
      </c>
      <c r="E493" s="9" t="s">
        <v>109</v>
      </c>
      <c r="F493" s="6">
        <v>100000</v>
      </c>
      <c r="G493" s="6">
        <f>ROUND(C493*F493,2)</f>
        <v>500000</v>
      </c>
      <c r="H493" s="6">
        <v>0</v>
      </c>
      <c r="I493" s="6">
        <v>0</v>
      </c>
    </row>
    <row r="494" spans="3:9" x14ac:dyDescent="0.25"/>
    <row r="495" spans="3:9" x14ac:dyDescent="0.25"/>
    <row r="496" ht="6" customHeight="1" spans="1:9" x14ac:dyDescent="0.25">
      <c r="B496" s="7" t="s">
        <v>3</v>
      </c>
    </row>
    <row r="497" spans="3:9" x14ac:dyDescent="0.25"/>
    <row r="498" spans="7:7" x14ac:dyDescent="0.25"/>
    <row r="499" spans="7:7" x14ac:dyDescent="0.25"/>
    <row r="500" spans="7:7" x14ac:dyDescent="0.25"/>
    <row r="501" spans="7:7" x14ac:dyDescent="0.25"/>
    <row r="502" spans="7:7" x14ac:dyDescent="0.25"/>
    <row r="503" spans="7:7" x14ac:dyDescent="0.25"/>
    <row r="504" spans="3:9" x14ac:dyDescent="0.25"/>
    <row r="505" spans="3:9" x14ac:dyDescent="0.25"/>
    <row r="506" spans="7:7" x14ac:dyDescent="0.25"/>
    <row r="507" spans="7:7" x14ac:dyDescent="0.25"/>
    <row r="508" spans="3:9" x14ac:dyDescent="0.25"/>
    <row r="509" spans="3:9" x14ac:dyDescent="0.25"/>
    <row r="510" spans="3:9" x14ac:dyDescent="0.25"/>
    <row r="511" spans="3:9" x14ac:dyDescent="0.25"/>
    <row r="514" ht="24" customHeight="1" spans="1:9" x14ac:dyDescent="0.25">
      <c r="B514" s="7" t="s">
        <v>125</v>
      </c>
      <c r="G514" s="6">
        <f>SUM(G466:G511)</f>
        <v>9196425</v>
      </c>
      <c r="H514" s="6">
        <v>0</v>
      </c>
      <c r="I514" s="6">
        <v>0</v>
      </c>
    </row>
    <row r="517" spans="7:7" x14ac:dyDescent="0.25"/>
    <row r="518" spans="3:9" x14ac:dyDescent="0.25"/>
    <row r="519" spans="3:9" x14ac:dyDescent="0.25"/>
    <row r="520" ht="32" customHeight="1" spans="1:9" x14ac:dyDescent="0.25">
      <c r="A520" s="7" t="s">
        <v>12</v>
      </c>
      <c r="B520" s="7" t="s">
        <v>126</v>
      </c>
      <c r="C520" s="8">
        <v>5</v>
      </c>
      <c r="E520" s="9" t="s">
        <v>109</v>
      </c>
      <c r="F520" s="6">
        <v>150000</v>
      </c>
      <c r="G520" s="6">
        <f>ROUND(C520*F520,2)</f>
        <v>750000</v>
      </c>
      <c r="H520" s="6">
        <v>0</v>
      </c>
      <c r="I520" s="6">
        <v>0</v>
      </c>
    </row>
    <row r="521" spans="3:9" x14ac:dyDescent="0.25"/>
    <row r="522" spans="3:9" x14ac:dyDescent="0.25"/>
    <row r="523" ht="32" customHeight="1" spans="1:9" x14ac:dyDescent="0.25">
      <c r="A523" s="7" t="s">
        <v>15</v>
      </c>
      <c r="B523" s="7" t="s">
        <v>127</v>
      </c>
      <c r="C523" s="8">
        <v>5</v>
      </c>
      <c r="E523" s="9" t="s">
        <v>109</v>
      </c>
      <c r="F523" s="6">
        <v>100000</v>
      </c>
      <c r="G523" s="6">
        <f>ROUND(C523*F523,2)</f>
        <v>500000</v>
      </c>
      <c r="H523" s="6">
        <v>0</v>
      </c>
      <c r="I523" s="6">
        <v>0</v>
      </c>
    </row>
    <row r="524" spans="3:9" x14ac:dyDescent="0.25"/>
    <row r="525" spans="3:9" x14ac:dyDescent="0.25"/>
    <row r="526" ht="32" customHeight="1" spans="1:9" x14ac:dyDescent="0.25">
      <c r="A526" s="7" t="s">
        <v>17</v>
      </c>
      <c r="B526" s="7" t="s">
        <v>128</v>
      </c>
      <c r="C526" s="8">
        <v>5</v>
      </c>
      <c r="E526" s="9" t="s">
        <v>109</v>
      </c>
      <c r="F526" s="6">
        <v>150000</v>
      </c>
      <c r="G526" s="6">
        <f>ROUND(C526*F526,2)</f>
        <v>750000</v>
      </c>
      <c r="H526" s="6">
        <v>0</v>
      </c>
      <c r="I526" s="6">
        <v>0</v>
      </c>
    </row>
    <row r="527" spans="3:9" x14ac:dyDescent="0.25"/>
    <row r="528" spans="3:9" x14ac:dyDescent="0.25"/>
    <row r="529" ht="48" customHeight="1" spans="1:9" x14ac:dyDescent="0.25">
      <c r="B529" s="7" t="s">
        <v>129</v>
      </c>
    </row>
    <row r="530" spans="3:9" x14ac:dyDescent="0.25"/>
    <row r="531" ht="24" customHeight="1" spans="1:9" x14ac:dyDescent="0.25">
      <c r="A531" s="7" t="s">
        <v>19</v>
      </c>
      <c r="B531" s="7" t="s">
        <v>130</v>
      </c>
      <c r="C531" s="8">
        <v>30</v>
      </c>
      <c r="E531" s="9" t="s">
        <v>109</v>
      </c>
      <c r="F531" s="6">
        <v>65000</v>
      </c>
      <c r="G531" s="6">
        <f>ROUND(C531*F531,2)</f>
        <v>1950000</v>
      </c>
      <c r="H531" s="6">
        <v>0</v>
      </c>
      <c r="I531" s="6">
        <v>0</v>
      </c>
    </row>
    <row r="532" spans="3:9" x14ac:dyDescent="0.25"/>
    <row r="533" spans="3:9" x14ac:dyDescent="0.25"/>
    <row r="534" ht="24" customHeight="1" spans="1:9" x14ac:dyDescent="0.25">
      <c r="A534" s="7" t="s">
        <v>21</v>
      </c>
      <c r="B534" s="7" t="s">
        <v>131</v>
      </c>
      <c r="C534" s="8">
        <v>15</v>
      </c>
      <c r="E534" s="9" t="s">
        <v>109</v>
      </c>
      <c r="F534" s="6">
        <v>65000</v>
      </c>
      <c r="G534" s="6">
        <f>ROUND(C534*F534,2)</f>
        <v>975000</v>
      </c>
      <c r="H534" s="6">
        <v>0</v>
      </c>
      <c r="I534" s="6">
        <v>0</v>
      </c>
    </row>
    <row r="535" spans="3:9" x14ac:dyDescent="0.25"/>
    <row r="536" spans="3:9" x14ac:dyDescent="0.25"/>
    <row r="537" spans="3:9" x14ac:dyDescent="0.25"/>
    <row r="538" ht="24" customHeight="1" spans="1:9" x14ac:dyDescent="0.25">
      <c r="A538" s="7" t="s">
        <v>23</v>
      </c>
      <c r="B538" s="7" t="s">
        <v>132</v>
      </c>
      <c r="C538" s="8">
        <v>160.65</v>
      </c>
      <c r="E538" s="9" t="s">
        <v>27</v>
      </c>
      <c r="F538" s="6">
        <v>650</v>
      </c>
      <c r="G538" s="6">
        <f>ROUND(C538*F538,2)</f>
        <v>104422.5</v>
      </c>
      <c r="H538" s="6">
        <v>0</v>
      </c>
      <c r="I538" s="6">
        <v>0</v>
      </c>
    </row>
    <row r="539" spans="3:9" x14ac:dyDescent="0.25"/>
    <row r="540" spans="3:9" x14ac:dyDescent="0.25"/>
    <row r="541" spans="3:9" x14ac:dyDescent="0.25"/>
    <row r="542" spans="3:9" x14ac:dyDescent="0.25"/>
    <row r="543" spans="3:9" x14ac:dyDescent="0.25"/>
    <row r="544" spans="3:9" x14ac:dyDescent="0.25"/>
    <row r="545" spans="3:9" x14ac:dyDescent="0.25"/>
    <row r="546" spans="3:9" x14ac:dyDescent="0.25"/>
    <row r="547" spans="3:9" x14ac:dyDescent="0.25"/>
    <row r="548" spans="3:9" x14ac:dyDescent="0.25"/>
    <row r="549" spans="3:9" x14ac:dyDescent="0.25"/>
    <row r="550" spans="3:9" x14ac:dyDescent="0.25"/>
    <row r="551" spans="3:9" x14ac:dyDescent="0.25"/>
    <row r="552" spans="3:9" x14ac:dyDescent="0.25"/>
    <row r="553" spans="3:9" x14ac:dyDescent="0.25"/>
    <row r="554" spans="7:7" x14ac:dyDescent="0.25"/>
    <row r="555" spans="3:9" x14ac:dyDescent="0.25"/>
    <row r="558" ht="24" customHeight="1" spans="1:9" x14ac:dyDescent="0.25">
      <c r="B558" s="7" t="s">
        <v>133</v>
      </c>
      <c r="G558" s="6">
        <f>SUM(G517:G555)</f>
        <v>5029422.5</v>
      </c>
      <c r="H558" s="6">
        <v>0</v>
      </c>
      <c r="I558" s="6">
        <v>0</v>
      </c>
    </row>
    <row r="561" ht="24" customHeight="1" spans="1:9" x14ac:dyDescent="0.25">
      <c r="B561" s="7" t="s">
        <v>134</v>
      </c>
    </row>
    <row r="562" spans="2:9" x14ac:dyDescent="0.25"/>
    <row r="563" spans="7:7" x14ac:dyDescent="0.25"/>
    <row r="564" ht="24" customHeight="1" spans="1:9" x14ac:dyDescent="0.25">
      <c r="B564" s="7" t="s">
        <v>58</v>
      </c>
    </row>
    <row r="565" spans="7:7" x14ac:dyDescent="0.25"/>
    <row r="566" spans="7:7" x14ac:dyDescent="0.25"/>
    <row r="567" ht="24" customHeight="1" spans="1:9" x14ac:dyDescent="0.25">
      <c r="B567" s="7" t="s">
        <v>135</v>
      </c>
      <c r="G567" s="6">
        <f>G514</f>
        <v>9196425</v>
      </c>
      <c r="H567" s="6">
        <v>0</v>
      </c>
      <c r="I567" s="6">
        <v>0</v>
      </c>
    </row>
    <row r="568" spans="7:7" x14ac:dyDescent="0.25"/>
    <row r="569" spans="7:7" x14ac:dyDescent="0.25"/>
    <row r="570" spans="7:7" x14ac:dyDescent="0.25"/>
    <row r="571" ht="24" customHeight="1" spans="1:9" x14ac:dyDescent="0.25">
      <c r="B571" s="7" t="s">
        <v>136</v>
      </c>
      <c r="G571" s="6">
        <f>G558</f>
        <v>5029422.5</v>
      </c>
      <c r="H571" s="6">
        <v>0</v>
      </c>
      <c r="I571" s="6">
        <v>0</v>
      </c>
    </row>
    <row r="572" spans="7:7" x14ac:dyDescent="0.25"/>
    <row r="573" spans="7:7" x14ac:dyDescent="0.25"/>
    <row r="574" spans="7:7" x14ac:dyDescent="0.25"/>
    <row r="575" spans="7:7" x14ac:dyDescent="0.25"/>
    <row r="576" spans="7:7" x14ac:dyDescent="0.25"/>
    <row r="577" spans="7:7" x14ac:dyDescent="0.25"/>
    <row r="578" spans="7:7" x14ac:dyDescent="0.25"/>
    <row r="579" spans="7:7" x14ac:dyDescent="0.25"/>
    <row r="580" spans="7:7" x14ac:dyDescent="0.25"/>
    <row r="581" spans="7:7" x14ac:dyDescent="0.25"/>
    <row r="582" spans="7:7" x14ac:dyDescent="0.25"/>
    <row r="583" spans="7:7" x14ac:dyDescent="0.25"/>
    <row r="584" spans="7:7" x14ac:dyDescent="0.25"/>
    <row r="585" spans="7:7" x14ac:dyDescent="0.25"/>
    <row r="586" spans="7:7" x14ac:dyDescent="0.25"/>
    <row r="587" spans="7:7" x14ac:dyDescent="0.25"/>
    <row r="588" spans="7:7" x14ac:dyDescent="0.25"/>
    <row r="589" spans="7:7" x14ac:dyDescent="0.25"/>
    <row r="590" spans="7:7" x14ac:dyDescent="0.25"/>
    <row r="591" spans="7:7" x14ac:dyDescent="0.25"/>
    <row r="592" spans="7:7" x14ac:dyDescent="0.25"/>
    <row r="593" spans="7:7" x14ac:dyDescent="0.25"/>
    <row r="594" spans="7:7" x14ac:dyDescent="0.25"/>
    <row r="595" spans="7:7" x14ac:dyDescent="0.25"/>
    <row r="596" spans="7:7" x14ac:dyDescent="0.25"/>
    <row r="597" spans="7:7" x14ac:dyDescent="0.25"/>
    <row r="598" spans="7:7" x14ac:dyDescent="0.25"/>
    <row r="599" spans="7:7" x14ac:dyDescent="0.25"/>
    <row r="600" spans="7:7" x14ac:dyDescent="0.25"/>
    <row r="601" spans="7:7" x14ac:dyDescent="0.25"/>
    <row r="602" spans="7:7" x14ac:dyDescent="0.25"/>
    <row r="603" spans="7:7" x14ac:dyDescent="0.25"/>
    <row r="604" spans="7:7" x14ac:dyDescent="0.25"/>
    <row r="605" spans="7:7" x14ac:dyDescent="0.25"/>
    <row r="606" spans="7:7" x14ac:dyDescent="0.25"/>
    <row r="607" spans="7:7" x14ac:dyDescent="0.25"/>
    <row r="608" spans="7:7" x14ac:dyDescent="0.25"/>
    <row r="610" ht="24" customHeight="1" spans="1:9" x14ac:dyDescent="0.25">
      <c r="B610" s="7" t="s">
        <v>134</v>
      </c>
    </row>
    <row r="611" ht="24" customHeight="1" spans="1:9" x14ac:dyDescent="0.25">
      <c r="B611" s="7" t="s">
        <v>137</v>
      </c>
      <c r="G611" s="6">
        <f>SUM(G561:G608)</f>
        <v>14225847.5</v>
      </c>
      <c r="H611" s="6">
        <v>0</v>
      </c>
      <c r="I611" s="6">
        <v>0</v>
      </c>
    </row>
    <row r="613" spans="7:7" x14ac:dyDescent="0.25"/>
    <row r="614" ht="24" customHeight="1" spans="1:9" x14ac:dyDescent="0.25">
      <c r="B614" s="7" t="s">
        <v>138</v>
      </c>
    </row>
    <row r="615" spans="7:7" x14ac:dyDescent="0.25"/>
    <row r="616" ht="32" customHeight="1" spans="1:9" x14ac:dyDescent="0.25">
      <c r="A616" s="7" t="s">
        <v>12</v>
      </c>
      <c r="B616" s="7" t="s">
        <v>139</v>
      </c>
      <c r="C616" s="8">
        <v>1</v>
      </c>
      <c r="E616" s="9" t="s">
        <v>55</v>
      </c>
      <c r="F616" s="6">
        <v>5000000</v>
      </c>
      <c r="G616" s="6">
        <f>ROUND(C616*F616,2)</f>
        <v>5000000</v>
      </c>
      <c r="H616" s="6">
        <v>0</v>
      </c>
      <c r="I616" s="6">
        <v>0</v>
      </c>
    </row>
    <row r="617" spans="7:7" x14ac:dyDescent="0.25"/>
    <row r="618" spans="7:7" x14ac:dyDescent="0.25"/>
    <row r="619" ht="24" customHeight="1" spans="1:9" x14ac:dyDescent="0.25">
      <c r="A619" s="7" t="s">
        <v>15</v>
      </c>
      <c r="B619" s="7" t="s">
        <v>140</v>
      </c>
      <c r="C619" s="8">
        <v>1</v>
      </c>
      <c r="E619" s="9" t="s">
        <v>55</v>
      </c>
      <c r="F619" s="6">
        <v>1500000</v>
      </c>
      <c r="G619" s="6">
        <f>ROUND(C619*F619,2)</f>
        <v>1500000</v>
      </c>
      <c r="H619" s="6">
        <v>0</v>
      </c>
      <c r="I619" s="6">
        <v>0</v>
      </c>
    </row>
    <row r="620" spans="7:7" x14ac:dyDescent="0.25"/>
    <row r="621" ht="24" customHeight="1" spans="1:9" x14ac:dyDescent="0.25">
      <c r="A621" s="7" t="s">
        <v>17</v>
      </c>
      <c r="B621" s="7" t="s">
        <v>141</v>
      </c>
      <c r="C621" s="8">
        <v>1</v>
      </c>
      <c r="E621" s="9" t="s">
        <v>55</v>
      </c>
      <c r="F621" s="6">
        <v>1500000</v>
      </c>
      <c r="G621" s="6">
        <f>ROUND(C621*F621,2)</f>
        <v>1500000</v>
      </c>
      <c r="H621" s="6">
        <v>0</v>
      </c>
      <c r="I621" s="6">
        <v>0</v>
      </c>
    </row>
    <row r="622" spans="7:7" x14ac:dyDescent="0.25"/>
    <row r="623" spans="7:7" x14ac:dyDescent="0.25"/>
    <row r="624" ht="24" customHeight="1" spans="1:9" x14ac:dyDescent="0.25">
      <c r="A624" s="7" t="s">
        <v>19</v>
      </c>
      <c r="B624" s="7" t="s">
        <v>142</v>
      </c>
      <c r="C624" s="8">
        <v>1</v>
      </c>
      <c r="E624" s="9" t="s">
        <v>55</v>
      </c>
      <c r="F624" s="6">
        <v>900000</v>
      </c>
      <c r="G624" s="6">
        <f>ROUND(C624*F624,2)</f>
        <v>900000</v>
      </c>
      <c r="H624" s="6">
        <v>0</v>
      </c>
      <c r="I624" s="6">
        <v>0</v>
      </c>
    </row>
    <row r="625" spans="7:7" x14ac:dyDescent="0.25"/>
    <row r="626" spans="7:7" x14ac:dyDescent="0.25"/>
    <row r="627" ht="24" customHeight="1" spans="1:9" x14ac:dyDescent="0.25">
      <c r="A627" s="7" t="s">
        <v>21</v>
      </c>
      <c r="B627" s="7" t="s">
        <v>143</v>
      </c>
      <c r="C627" s="8">
        <v>1</v>
      </c>
      <c r="E627" s="9" t="s">
        <v>55</v>
      </c>
      <c r="F627" s="6">
        <v>500000</v>
      </c>
      <c r="G627" s="6">
        <f>ROUND(C627*F627,2)</f>
        <v>500000</v>
      </c>
      <c r="H627" s="6">
        <v>0</v>
      </c>
      <c r="I627" s="6">
        <v>0</v>
      </c>
    </row>
    <row r="628" spans="7:7" x14ac:dyDescent="0.25"/>
    <row r="629" spans="7:7" x14ac:dyDescent="0.25"/>
    <row r="630" spans="7:7" x14ac:dyDescent="0.25"/>
    <row r="631" spans="7:7" x14ac:dyDescent="0.25"/>
    <row r="632" spans="7:7" x14ac:dyDescent="0.25"/>
    <row r="633" spans="7:7" x14ac:dyDescent="0.25"/>
    <row r="634" spans="7:7" x14ac:dyDescent="0.25"/>
    <row r="635" spans="7:7" x14ac:dyDescent="0.25"/>
    <row r="636" spans="7:7" x14ac:dyDescent="0.25"/>
    <row r="637" spans="7:7" x14ac:dyDescent="0.25"/>
    <row r="638" spans="7:7" x14ac:dyDescent="0.25"/>
    <row r="639" spans="7:7" x14ac:dyDescent="0.25"/>
    <row r="640" spans="7:7" x14ac:dyDescent="0.25"/>
    <row r="641" spans="7:7" x14ac:dyDescent="0.25"/>
    <row r="642" spans="7:7" x14ac:dyDescent="0.25"/>
    <row r="643" ht="6" customHeight="1" spans="1:9" x14ac:dyDescent="0.25">
      <c r="G643" s="6" t="s">
        <v>144</v>
      </c>
    </row>
    <row r="644" spans="7:7" x14ac:dyDescent="0.25"/>
    <row r="645" spans="7:7" x14ac:dyDescent="0.25"/>
    <row r="646" spans="7:7" x14ac:dyDescent="0.25"/>
    <row r="647" spans="7:7" x14ac:dyDescent="0.25"/>
    <row r="648" spans="7:7" x14ac:dyDescent="0.25"/>
    <row r="649" spans="7:7" x14ac:dyDescent="0.25"/>
    <row r="650" spans="7:7" x14ac:dyDescent="0.25"/>
    <row r="651" spans="7:7" x14ac:dyDescent="0.25"/>
    <row r="652" spans="7:7" x14ac:dyDescent="0.25"/>
    <row r="653" spans="7:7" x14ac:dyDescent="0.25"/>
    <row r="654" spans="7:7" x14ac:dyDescent="0.25"/>
    <row r="655" spans="7:7" x14ac:dyDescent="0.25"/>
    <row r="656" spans="7:7" x14ac:dyDescent="0.25"/>
    <row r="657" spans="7:7" x14ac:dyDescent="0.25"/>
    <row r="658" spans="7:7" x14ac:dyDescent="0.25"/>
    <row r="661" ht="24" customHeight="1" spans="1:9" x14ac:dyDescent="0.25">
      <c r="B661" s="7" t="s">
        <v>145</v>
      </c>
      <c r="G661" s="6">
        <f>SUM(G613:G658)</f>
        <v>9400000</v>
      </c>
      <c r="H661" s="6">
        <v>0</v>
      </c>
      <c r="I661" s="6">
        <v>0</v>
      </c>
    </row>
    <row r="664" ht="24" customHeight="1" spans="1:9" x14ac:dyDescent="0.25">
      <c r="B664" s="7" t="s">
        <v>146</v>
      </c>
    </row>
    <row r="665" spans="7:7" x14ac:dyDescent="0.25"/>
    <row r="666" ht="24" customHeight="1" spans="1:9" x14ac:dyDescent="0.25">
      <c r="B666" s="7" t="s">
        <v>147</v>
      </c>
    </row>
    <row r="667" spans="7:7" x14ac:dyDescent="0.25"/>
    <row r="668" ht="24" customHeight="1" spans="1:9" x14ac:dyDescent="0.25">
      <c r="B668" s="7" t="s">
        <v>148</v>
      </c>
    </row>
    <row r="669" spans="7:7" x14ac:dyDescent="0.25"/>
    <row r="670" ht="24" customHeight="1" spans="1:9" x14ac:dyDescent="0.25">
      <c r="A670" s="7" t="s">
        <v>12</v>
      </c>
      <c r="B670" s="7" t="s">
        <v>149</v>
      </c>
      <c r="C670" s="8">
        <v>3219.46</v>
      </c>
      <c r="E670" s="9" t="s">
        <v>27</v>
      </c>
      <c r="F670" s="6">
        <v>2500</v>
      </c>
      <c r="G670" s="6">
        <f>ROUND(C670*F670,2)</f>
        <v>8048650</v>
      </c>
      <c r="H670" s="6">
        <v>0</v>
      </c>
      <c r="I670" s="6">
        <v>0</v>
      </c>
    </row>
    <row r="671" spans="3:9" x14ac:dyDescent="0.25"/>
    <row r="672" spans="3:9" x14ac:dyDescent="0.25"/>
    <row r="673" ht="24" customHeight="1" spans="1:9" x14ac:dyDescent="0.25">
      <c r="A673" s="7" t="s">
        <v>15</v>
      </c>
      <c r="B673" s="7" t="s">
        <v>150</v>
      </c>
      <c r="C673" s="8">
        <v>400</v>
      </c>
      <c r="E673" s="9" t="s">
        <v>27</v>
      </c>
      <c r="F673" s="6">
        <v>3500</v>
      </c>
      <c r="G673" s="6">
        <f>ROUND(C673*F673,2)</f>
        <v>1400000</v>
      </c>
      <c r="H673" s="6">
        <v>0</v>
      </c>
      <c r="I673" s="6">
        <v>0</v>
      </c>
    </row>
    <row r="674" spans="3:9" x14ac:dyDescent="0.25"/>
    <row r="675" ht="6" customHeight="1" spans="1:9" x14ac:dyDescent="0.25">
      <c r="B675" s="7" t="s">
        <v>3</v>
      </c>
    </row>
    <row r="676" spans="3:9" x14ac:dyDescent="0.25"/>
    <row r="677" ht="24" customHeight="1" spans="1:9" x14ac:dyDescent="0.25">
      <c r="B677" s="7" t="s">
        <v>151</v>
      </c>
    </row>
    <row r="678" spans="3:9" x14ac:dyDescent="0.25"/>
    <row r="679" ht="24" customHeight="1" spans="1:9" x14ac:dyDescent="0.25">
      <c r="A679" s="7" t="s">
        <v>17</v>
      </c>
      <c r="B679" s="7" t="s">
        <v>152</v>
      </c>
      <c r="C679" s="8">
        <v>2969.46</v>
      </c>
      <c r="E679" s="9" t="s">
        <v>27</v>
      </c>
      <c r="F679" s="6">
        <v>600</v>
      </c>
      <c r="G679" s="6">
        <f>ROUND(C679*F679,2)</f>
        <v>1781676</v>
      </c>
      <c r="H679" s="6">
        <v>0</v>
      </c>
      <c r="I679" s="6">
        <v>0</v>
      </c>
    </row>
    <row r="680" spans="3:9" x14ac:dyDescent="0.25"/>
    <row r="681" spans="3:9" x14ac:dyDescent="0.25"/>
    <row r="682" ht="24" customHeight="1" spans="1:9" x14ac:dyDescent="0.25">
      <c r="A682" s="7" t="s">
        <v>19</v>
      </c>
      <c r="B682" s="7" t="s">
        <v>153</v>
      </c>
      <c r="C682" s="8">
        <v>400</v>
      </c>
      <c r="E682" s="9" t="s">
        <v>27</v>
      </c>
      <c r="F682" s="6">
        <v>650</v>
      </c>
      <c r="G682" s="6">
        <f>ROUND(C682*F682,2)</f>
        <v>260000</v>
      </c>
      <c r="H682" s="6">
        <v>0</v>
      </c>
      <c r="I682" s="6">
        <v>0</v>
      </c>
    </row>
    <row r="683" spans="3:9" x14ac:dyDescent="0.25"/>
    <row r="684" spans="3:9" x14ac:dyDescent="0.25"/>
    <row r="685" ht="24" customHeight="1" spans="1:9" x14ac:dyDescent="0.25">
      <c r="B685" s="7" t="s">
        <v>154</v>
      </c>
    </row>
    <row r="686" spans="3:9" x14ac:dyDescent="0.25"/>
    <row r="687" ht="24" customHeight="1" spans="1:9" x14ac:dyDescent="0.25">
      <c r="A687" s="7" t="s">
        <v>21</v>
      </c>
      <c r="B687" s="7" t="s">
        <v>155</v>
      </c>
      <c r="C687" s="8">
        <v>2969.46</v>
      </c>
      <c r="E687" s="9" t="s">
        <v>27</v>
      </c>
      <c r="F687" s="6">
        <v>1100</v>
      </c>
      <c r="G687" s="6">
        <f>ROUND(C687*F687,2)</f>
        <v>3266406</v>
      </c>
      <c r="H687" s="6">
        <v>0</v>
      </c>
      <c r="I687" s="6">
        <v>0</v>
      </c>
    </row>
    <row r="688" spans="3:9" x14ac:dyDescent="0.25"/>
    <row r="689" spans="3:9" x14ac:dyDescent="0.25"/>
    <row r="690" ht="24" customHeight="1" spans="1:9" x14ac:dyDescent="0.25">
      <c r="A690" s="7" t="s">
        <v>23</v>
      </c>
      <c r="B690" s="7" t="s">
        <v>156</v>
      </c>
      <c r="C690" s="8">
        <v>400</v>
      </c>
      <c r="E690" s="9" t="s">
        <v>27</v>
      </c>
      <c r="F690" s="6">
        <v>500</v>
      </c>
      <c r="G690" s="6">
        <f>ROUND(C690*F690,2)</f>
        <v>200000</v>
      </c>
      <c r="H690" s="6">
        <v>0</v>
      </c>
      <c r="I690" s="6">
        <v>0</v>
      </c>
    </row>
    <row r="691" spans="3:9" x14ac:dyDescent="0.25"/>
    <row r="692" spans="3:9" x14ac:dyDescent="0.25"/>
    <row r="693" ht="6" customHeight="1" spans="1:9" x14ac:dyDescent="0.25">
      <c r="B693" s="7" t="s">
        <v>3</v>
      </c>
    </row>
    <row r="694" spans="3:9" x14ac:dyDescent="0.25"/>
    <row r="695" spans="3:9" x14ac:dyDescent="0.25"/>
    <row r="696" ht="24" customHeight="1" spans="1:9" x14ac:dyDescent="0.25">
      <c r="A696" s="7" t="s">
        <v>25</v>
      </c>
      <c r="B696" s="7" t="s">
        <v>157</v>
      </c>
      <c r="C696" s="8">
        <v>980.11</v>
      </c>
      <c r="E696" s="9" t="s">
        <v>27</v>
      </c>
      <c r="F696" s="6">
        <f>F670</f>
        <v>2500</v>
      </c>
      <c r="G696" s="6">
        <f>ROUND(C696*F696,2)</f>
        <v>2450275</v>
      </c>
      <c r="H696" s="6">
        <v>0</v>
      </c>
      <c r="I696" s="6">
        <v>0</v>
      </c>
    </row>
    <row r="697" spans="3:9" x14ac:dyDescent="0.25"/>
    <row r="698" spans="3:9" x14ac:dyDescent="0.25"/>
    <row r="699" ht="24" customHeight="1" spans="1:9" x14ac:dyDescent="0.25">
      <c r="A699" s="7" t="s">
        <v>29</v>
      </c>
      <c r="B699" s="7" t="s">
        <v>158</v>
      </c>
      <c r="C699" s="8">
        <v>980.11</v>
      </c>
      <c r="E699" s="9" t="s">
        <v>27</v>
      </c>
      <c r="F699" s="6">
        <v>1100</v>
      </c>
      <c r="G699" s="6">
        <f>ROUND(C699*F699,2)</f>
        <v>1078121</v>
      </c>
      <c r="H699" s="6">
        <v>0</v>
      </c>
      <c r="I699" s="6">
        <v>0</v>
      </c>
    </row>
    <row r="700" spans="3:9" x14ac:dyDescent="0.25"/>
    <row r="701" spans="3:9" x14ac:dyDescent="0.25"/>
    <row r="702" ht="32" customHeight="1" spans="1:9" x14ac:dyDescent="0.25">
      <c r="A702" s="7" t="s">
        <v>31</v>
      </c>
      <c r="B702" s="7" t="s">
        <v>159</v>
      </c>
      <c r="C702" s="8">
        <v>250</v>
      </c>
      <c r="E702" s="9" t="s">
        <v>27</v>
      </c>
      <c r="F702" s="6">
        <v>3500</v>
      </c>
      <c r="G702" s="6">
        <f>ROUND(C702*F702,2)</f>
        <v>875000</v>
      </c>
      <c r="H702" s="6">
        <v>0</v>
      </c>
      <c r="I702" s="6">
        <v>0</v>
      </c>
    </row>
    <row r="703" spans="3:9" x14ac:dyDescent="0.25"/>
    <row r="704" spans="3:9" x14ac:dyDescent="0.25"/>
    <row r="705" spans="3:9" x14ac:dyDescent="0.25"/>
    <row r="706" spans="7:7" x14ac:dyDescent="0.25"/>
    <row r="707" spans="7:7" x14ac:dyDescent="0.25"/>
    <row r="708" spans="3:9" x14ac:dyDescent="0.25"/>
    <row r="709" spans="3:9" x14ac:dyDescent="0.25"/>
    <row r="710" spans="3:9" x14ac:dyDescent="0.25"/>
    <row r="713" ht="24" customHeight="1" spans="1:9" x14ac:dyDescent="0.25">
      <c r="B713" s="7" t="s">
        <v>160</v>
      </c>
      <c r="G713" s="6">
        <f>SUM(G664:G710)</f>
        <v>19360128</v>
      </c>
      <c r="H713" s="6">
        <v>0</v>
      </c>
      <c r="I713" s="6">
        <v>0</v>
      </c>
    </row>
    <row r="716" ht="24" customHeight="1" spans="1:9" x14ac:dyDescent="0.25">
      <c r="B716" s="7" t="s">
        <v>161</v>
      </c>
    </row>
    <row r="717" spans="3:9" x14ac:dyDescent="0.25"/>
    <row r="718" ht="48" customHeight="1" spans="1:9" x14ac:dyDescent="0.25">
      <c r="B718" s="7" t="s">
        <v>162</v>
      </c>
    </row>
    <row r="719" spans="3:9" x14ac:dyDescent="0.25"/>
    <row r="720" ht="24" customHeight="1" spans="1:9" x14ac:dyDescent="0.25">
      <c r="A720" s="7" t="s">
        <v>12</v>
      </c>
      <c r="B720" s="7" t="s">
        <v>163</v>
      </c>
      <c r="C720" s="8">
        <v>600</v>
      </c>
      <c r="E720" s="9" t="s">
        <v>27</v>
      </c>
      <c r="F720" s="6">
        <v>4500</v>
      </c>
      <c r="G720" s="6">
        <f>ROUND(C720*F720,2)</f>
        <v>2700000</v>
      </c>
      <c r="H720" s="6">
        <v>0</v>
      </c>
      <c r="I720" s="6">
        <v>0</v>
      </c>
    </row>
    <row r="721" spans="3:9" x14ac:dyDescent="0.25"/>
    <row r="722" spans="3:9" x14ac:dyDescent="0.25"/>
    <row r="723" ht="24" customHeight="1" spans="1:9" x14ac:dyDescent="0.25">
      <c r="A723" s="7" t="s">
        <v>15</v>
      </c>
      <c r="B723" s="7" t="s">
        <v>164</v>
      </c>
      <c r="C723" s="8">
        <v>550</v>
      </c>
      <c r="E723" s="9" t="s">
        <v>38</v>
      </c>
      <c r="F723" s="6">
        <v>500</v>
      </c>
      <c r="G723" s="6">
        <f>ROUND(C723*F723,2)</f>
        <v>275000</v>
      </c>
      <c r="H723" s="6">
        <v>0</v>
      </c>
      <c r="I723" s="6">
        <v>0</v>
      </c>
    </row>
    <row r="724" spans="3:9" x14ac:dyDescent="0.25"/>
    <row r="725" spans="3:9" x14ac:dyDescent="0.25"/>
    <row r="726" ht="32" customHeight="1" spans="1:9" x14ac:dyDescent="0.25">
      <c r="B726" s="7" t="s">
        <v>165</v>
      </c>
    </row>
    <row r="727" spans="3:9" x14ac:dyDescent="0.25"/>
    <row r="728" ht="24" customHeight="1" spans="1:9" x14ac:dyDescent="0.25">
      <c r="A728" s="7" t="s">
        <v>17</v>
      </c>
      <c r="B728" s="7" t="s">
        <v>163</v>
      </c>
      <c r="C728" s="8">
        <v>85</v>
      </c>
      <c r="E728" s="9" t="s">
        <v>27</v>
      </c>
      <c r="F728" s="6">
        <v>7900</v>
      </c>
      <c r="G728" s="6">
        <f>ROUND(C728*F728,2)</f>
        <v>671500</v>
      </c>
      <c r="H728" s="6">
        <v>0</v>
      </c>
      <c r="I728" s="6">
        <v>0</v>
      </c>
    </row>
    <row r="729" spans="3:9" x14ac:dyDescent="0.25"/>
    <row r="730" spans="3:9" x14ac:dyDescent="0.25"/>
    <row r="731" ht="24" customHeight="1" spans="1:9" x14ac:dyDescent="0.25">
      <c r="A731" s="7" t="s">
        <v>19</v>
      </c>
      <c r="B731" s="7" t="s">
        <v>166</v>
      </c>
      <c r="C731" s="8">
        <v>88</v>
      </c>
      <c r="E731" s="9" t="s">
        <v>38</v>
      </c>
      <c r="F731" s="6">
        <f>F728*0.25</f>
        <v>1975</v>
      </c>
      <c r="G731" s="6">
        <f>ROUND(C731*F731,2)</f>
        <v>173800</v>
      </c>
      <c r="H731" s="6">
        <v>0</v>
      </c>
      <c r="I731" s="6">
        <v>0</v>
      </c>
    </row>
    <row r="732" spans="3:9" x14ac:dyDescent="0.25"/>
    <row r="733" spans="3:9" x14ac:dyDescent="0.25"/>
    <row r="734" ht="24" customHeight="1" spans="1:9" x14ac:dyDescent="0.25">
      <c r="A734" s="7" t="s">
        <v>21</v>
      </c>
      <c r="B734" s="7" t="s">
        <v>167</v>
      </c>
      <c r="C734" s="8">
        <v>88</v>
      </c>
      <c r="E734" s="9" t="s">
        <v>38</v>
      </c>
      <c r="F734" s="6">
        <f>F728*0.15</f>
        <v>1185</v>
      </c>
      <c r="G734" s="6">
        <f>ROUND(C734*F734,2)</f>
        <v>104280</v>
      </c>
      <c r="H734" s="6">
        <v>0</v>
      </c>
      <c r="I734" s="6">
        <v>0</v>
      </c>
    </row>
    <row r="735" spans="3:9" x14ac:dyDescent="0.25"/>
    <row r="736" spans="3:9" x14ac:dyDescent="0.25"/>
    <row r="737" ht="24" customHeight="1" spans="1:9" x14ac:dyDescent="0.25">
      <c r="A737" s="7" t="s">
        <v>23</v>
      </c>
      <c r="B737" s="7" t="s">
        <v>164</v>
      </c>
      <c r="C737" s="8">
        <v>150</v>
      </c>
      <c r="E737" s="9" t="s">
        <v>38</v>
      </c>
      <c r="F737" s="6">
        <f>F728*0.1</f>
        <v>790</v>
      </c>
      <c r="G737" s="6">
        <f>ROUND(C737*F737,2)</f>
        <v>118500</v>
      </c>
      <c r="H737" s="6">
        <v>0</v>
      </c>
      <c r="I737" s="6">
        <v>0</v>
      </c>
    </row>
    <row r="738" ht="6" customHeight="1" spans="1:9" x14ac:dyDescent="0.25">
      <c r="B738" s="7" t="s">
        <v>3</v>
      </c>
    </row>
    <row r="739" spans="3:9" x14ac:dyDescent="0.25"/>
    <row r="740" spans="3:9" x14ac:dyDescent="0.25"/>
    <row r="741" spans="3:9" x14ac:dyDescent="0.25"/>
    <row r="742" ht="24" customHeight="1" spans="1:9" x14ac:dyDescent="0.25">
      <c r="B742" s="7" t="s">
        <v>168</v>
      </c>
    </row>
    <row r="743" spans="3:9" x14ac:dyDescent="0.25"/>
    <row r="744" ht="24" customHeight="1" spans="1:9" x14ac:dyDescent="0.25">
      <c r="A744" s="7" t="s">
        <v>25</v>
      </c>
      <c r="B744" s="7" t="s">
        <v>169</v>
      </c>
      <c r="C744" s="8">
        <v>75</v>
      </c>
      <c r="E744" s="9" t="s">
        <v>27</v>
      </c>
      <c r="F744" s="6">
        <v>25000</v>
      </c>
      <c r="G744" s="6">
        <f>ROUND(C744*F744,2)</f>
        <v>1875000</v>
      </c>
      <c r="H744" s="6">
        <v>0</v>
      </c>
      <c r="I744" s="6">
        <v>0</v>
      </c>
    </row>
    <row r="745" spans="3:9" x14ac:dyDescent="0.25"/>
    <row r="746" spans="3:9" x14ac:dyDescent="0.25"/>
    <row r="747" ht="24" customHeight="1" spans="1:9" x14ac:dyDescent="0.25">
      <c r="A747" s="7" t="s">
        <v>29</v>
      </c>
      <c r="B747" s="7" t="s">
        <v>170</v>
      </c>
      <c r="C747" s="8">
        <v>685</v>
      </c>
      <c r="E747" s="9" t="s">
        <v>27</v>
      </c>
      <c r="F747" s="6">
        <v>45000</v>
      </c>
      <c r="G747" s="6">
        <f>ROUND(C747*F747,2)</f>
        <v>30825000</v>
      </c>
      <c r="H747" s="6">
        <v>0</v>
      </c>
      <c r="I747" s="6">
        <v>0</v>
      </c>
    </row>
    <row r="748" spans="3:9" x14ac:dyDescent="0.25"/>
    <row r="749" spans="3:9" x14ac:dyDescent="0.25"/>
    <row r="750" ht="24" customHeight="1" spans="1:9" x14ac:dyDescent="0.25">
      <c r="A750" s="7" t="s">
        <v>31</v>
      </c>
      <c r="B750" s="7" t="s">
        <v>171</v>
      </c>
      <c r="C750" s="8">
        <v>250</v>
      </c>
      <c r="E750" s="9" t="s">
        <v>27</v>
      </c>
      <c r="F750" s="6">
        <v>9500</v>
      </c>
      <c r="G750" s="6">
        <f>ROUND(C750*F750,2)</f>
        <v>2375000</v>
      </c>
      <c r="H750" s="6">
        <v>0</v>
      </c>
      <c r="I750" s="6">
        <v>0</v>
      </c>
    </row>
    <row r="751" spans="3:9" x14ac:dyDescent="0.25"/>
    <row r="752" spans="3:9" x14ac:dyDescent="0.25"/>
    <row r="753" spans="7:7" x14ac:dyDescent="0.25"/>
    <row r="754" spans="3:9" x14ac:dyDescent="0.25"/>
    <row r="755" spans="3:9" x14ac:dyDescent="0.25"/>
    <row r="756" spans="3:9" x14ac:dyDescent="0.25"/>
    <row r="757" spans="7:7" x14ac:dyDescent="0.25"/>
    <row r="758" spans="7:7" x14ac:dyDescent="0.25"/>
    <row r="761" ht="24" customHeight="1" spans="1:9" x14ac:dyDescent="0.25">
      <c r="B761" s="7" t="s">
        <v>172</v>
      </c>
      <c r="G761" s="6">
        <f>SUM(G716:G758)</f>
        <v>39118080</v>
      </c>
      <c r="H761" s="6">
        <v>0</v>
      </c>
      <c r="I761" s="6">
        <v>0</v>
      </c>
    </row>
    <row r="763" spans="8:9" x14ac:dyDescent="0.25"/>
    <row r="764" ht="24" customHeight="1" spans="1:9" x14ac:dyDescent="0.25">
      <c r="B764" s="7" t="s">
        <v>173</v>
      </c>
    </row>
    <row r="765" spans="3:9" x14ac:dyDescent="0.25"/>
    <row r="766" ht="32" customHeight="1" spans="1:9" x14ac:dyDescent="0.25">
      <c r="A766" s="7" t="s">
        <v>12</v>
      </c>
      <c r="B766" s="7" t="s">
        <v>174</v>
      </c>
      <c r="C766" s="8">
        <v>400</v>
      </c>
      <c r="E766" s="9" t="s">
        <v>27</v>
      </c>
      <c r="F766" s="6">
        <v>3000</v>
      </c>
      <c r="G766" s="6">
        <f>ROUND(C766*F766,2)</f>
        <v>1200000</v>
      </c>
      <c r="H766" s="6">
        <v>0</v>
      </c>
      <c r="I766" s="6">
        <v>0</v>
      </c>
    </row>
    <row r="767" spans="3:9" x14ac:dyDescent="0.25"/>
    <row r="768" spans="3:9" x14ac:dyDescent="0.25"/>
    <row r="769" ht="24" customHeight="1" spans="1:9" x14ac:dyDescent="0.25">
      <c r="A769" s="7" t="s">
        <v>15</v>
      </c>
      <c r="B769" s="7" t="s">
        <v>175</v>
      </c>
      <c r="C769" s="8">
        <v>600</v>
      </c>
      <c r="E769" s="9" t="s">
        <v>38</v>
      </c>
      <c r="F769" s="6">
        <v>1500</v>
      </c>
      <c r="G769" s="6">
        <f>ROUND(C769*F769,2)</f>
        <v>900000</v>
      </c>
      <c r="H769" s="6">
        <v>0</v>
      </c>
      <c r="I769" s="6">
        <v>0</v>
      </c>
    </row>
    <row r="770" spans="3:9" x14ac:dyDescent="0.25"/>
    <row r="771" spans="3:9" x14ac:dyDescent="0.25"/>
    <row r="772" ht="24" customHeight="1" spans="1:9" x14ac:dyDescent="0.25">
      <c r="A772" s="7" t="s">
        <v>17</v>
      </c>
      <c r="B772" s="7" t="s">
        <v>176</v>
      </c>
      <c r="C772" s="8">
        <v>400</v>
      </c>
      <c r="E772" s="9" t="s">
        <v>27</v>
      </c>
      <c r="F772" s="6">
        <v>550</v>
      </c>
      <c r="G772" s="6">
        <f>ROUND(C772*F772,2)</f>
        <v>220000</v>
      </c>
      <c r="H772" s="6">
        <v>0</v>
      </c>
      <c r="I772" s="6">
        <v>0</v>
      </c>
    </row>
    <row r="773" spans="3:9" x14ac:dyDescent="0.25"/>
    <row r="774" spans="3:9" x14ac:dyDescent="0.25"/>
    <row r="775" ht="32" customHeight="1" spans="1:9" x14ac:dyDescent="0.25">
      <c r="A775" s="7" t="s">
        <v>19</v>
      </c>
      <c r="B775" s="7" t="s">
        <v>177</v>
      </c>
      <c r="C775" s="8">
        <v>50</v>
      </c>
      <c r="E775" s="9" t="s">
        <v>27</v>
      </c>
      <c r="F775" s="6">
        <v>7800</v>
      </c>
      <c r="G775" s="6">
        <f>ROUND(C775*F775,2)</f>
        <v>390000</v>
      </c>
      <c r="H775" s="6">
        <v>0</v>
      </c>
      <c r="I775" s="6">
        <v>0</v>
      </c>
    </row>
    <row r="776" spans="3:9" x14ac:dyDescent="0.25"/>
    <row r="777" spans="3:9" x14ac:dyDescent="0.25"/>
    <row r="778" spans="3:9" x14ac:dyDescent="0.25"/>
    <row r="779" spans="3:9" x14ac:dyDescent="0.25"/>
    <row r="780" spans="3:9" x14ac:dyDescent="0.25"/>
    <row r="781" spans="3:9" x14ac:dyDescent="0.25"/>
    <row r="782" spans="3:9" x14ac:dyDescent="0.25"/>
    <row r="783" spans="3:9" x14ac:dyDescent="0.25"/>
    <row r="784" spans="3:9" x14ac:dyDescent="0.25"/>
    <row r="785" spans="3:9" x14ac:dyDescent="0.25"/>
    <row r="786" spans="3:9" x14ac:dyDescent="0.25"/>
    <row r="787" spans="3:9" x14ac:dyDescent="0.25"/>
    <row r="788" spans="3:9" x14ac:dyDescent="0.25"/>
    <row r="789" spans="3:9" x14ac:dyDescent="0.25"/>
    <row r="790" spans="3:9" x14ac:dyDescent="0.25"/>
    <row r="791" spans="3:9" x14ac:dyDescent="0.25"/>
    <row r="792" spans="3:9" x14ac:dyDescent="0.25"/>
    <row r="793" spans="3:9" x14ac:dyDescent="0.25"/>
    <row r="794" spans="3:9" x14ac:dyDescent="0.25"/>
    <row r="795" spans="3:9" x14ac:dyDescent="0.25"/>
    <row r="796" spans="3:9" x14ac:dyDescent="0.25"/>
    <row r="797" spans="3:9" x14ac:dyDescent="0.25"/>
    <row r="798" spans="7:7" x14ac:dyDescent="0.25"/>
    <row r="799" spans="7:7" x14ac:dyDescent="0.25"/>
    <row r="800" spans="7:7" x14ac:dyDescent="0.25"/>
    <row r="801" spans="7:7" x14ac:dyDescent="0.25"/>
    <row r="802" spans="7:7" x14ac:dyDescent="0.25"/>
    <row r="803" spans="7:7" x14ac:dyDescent="0.25"/>
    <row r="804" spans="7:7" x14ac:dyDescent="0.25"/>
    <row r="805" spans="7:7" x14ac:dyDescent="0.25"/>
    <row r="806" spans="7:7" x14ac:dyDescent="0.25"/>
    <row r="809" ht="24" customHeight="1" spans="1:9" x14ac:dyDescent="0.25">
      <c r="B809" s="7" t="s">
        <v>178</v>
      </c>
      <c r="G809" s="6">
        <f>SUM(G764:G806)</f>
        <v>2710000</v>
      </c>
      <c r="H809" s="6">
        <v>0</v>
      </c>
      <c r="I809" s="6">
        <v>0</v>
      </c>
    </row>
    <row r="813" ht="24" customHeight="1" spans="1:9" x14ac:dyDescent="0.25">
      <c r="B813" s="7" t="s">
        <v>179</v>
      </c>
    </row>
    <row r="818" ht="24" customHeight="1" spans="1:9" x14ac:dyDescent="0.25">
      <c r="B818" s="7" t="s">
        <v>180</v>
      </c>
    </row>
    <row r="819" spans="7:7" x14ac:dyDescent="0.25"/>
    <row r="820" spans="7:7" x14ac:dyDescent="0.25"/>
    <row r="821" spans="7:7" x14ac:dyDescent="0.25"/>
    <row r="822" spans="7:7" x14ac:dyDescent="0.25"/>
    <row r="823" spans="7:7" x14ac:dyDescent="0.25"/>
    <row r="824" ht="24" customHeight="1" spans="1:9" x14ac:dyDescent="0.25">
      <c r="B824" s="7" t="s">
        <v>181</v>
      </c>
      <c r="G824" s="6">
        <f>G713</f>
        <v>19360128</v>
      </c>
      <c r="H824" s="6">
        <v>0</v>
      </c>
      <c r="I824" s="6">
        <v>0</v>
      </c>
    </row>
    <row r="825" spans="7:7" x14ac:dyDescent="0.25"/>
    <row r="826" spans="7:7" x14ac:dyDescent="0.25"/>
    <row r="827" spans="7:7" x14ac:dyDescent="0.25"/>
    <row r="828" spans="7:7" x14ac:dyDescent="0.25"/>
    <row r="829" spans="7:7" x14ac:dyDescent="0.25"/>
    <row r="830" spans="7:7" x14ac:dyDescent="0.25"/>
    <row r="831" ht="24" customHeight="1" spans="1:9" x14ac:dyDescent="0.25">
      <c r="B831" s="7" t="s">
        <v>182</v>
      </c>
      <c r="G831" s="6">
        <f>G761</f>
        <v>39118080</v>
      </c>
      <c r="H831" s="6">
        <v>0</v>
      </c>
      <c r="I831" s="6">
        <v>0</v>
      </c>
    </row>
    <row r="832" spans="7:7" x14ac:dyDescent="0.25"/>
    <row r="833" spans="7:7" x14ac:dyDescent="0.25"/>
    <row r="834" spans="7:7" x14ac:dyDescent="0.25"/>
    <row r="835" spans="7:7" x14ac:dyDescent="0.25"/>
    <row r="836" spans="7:7" x14ac:dyDescent="0.25"/>
    <row r="837" ht="24" customHeight="1" spans="1:9" x14ac:dyDescent="0.25">
      <c r="B837" s="7" t="s">
        <v>183</v>
      </c>
      <c r="G837" s="6">
        <f>G809</f>
        <v>2710000</v>
      </c>
      <c r="H837" s="6">
        <v>0</v>
      </c>
      <c r="I837" s="6">
        <v>0</v>
      </c>
    </row>
    <row r="838" spans="7:7" x14ac:dyDescent="0.25"/>
    <row r="839" spans="7:7" x14ac:dyDescent="0.25"/>
    <row r="840" spans="7:7" x14ac:dyDescent="0.25"/>
    <row r="841" spans="7:7" x14ac:dyDescent="0.25"/>
    <row r="842" spans="7:7" x14ac:dyDescent="0.25"/>
    <row r="843" spans="7:7" x14ac:dyDescent="0.25"/>
    <row r="844" spans="7:7" x14ac:dyDescent="0.25"/>
    <row r="845" spans="7:7" x14ac:dyDescent="0.25"/>
    <row r="846" spans="7:7" x14ac:dyDescent="0.25"/>
    <row r="847" spans="7:7" x14ac:dyDescent="0.25"/>
    <row r="848" spans="7:7" x14ac:dyDescent="0.25"/>
    <row r="849" spans="7:7" x14ac:dyDescent="0.25"/>
    <row r="850" spans="7:7" x14ac:dyDescent="0.25"/>
    <row r="851" spans="7:7" x14ac:dyDescent="0.25"/>
    <row r="852" spans="7:7" x14ac:dyDescent="0.25"/>
    <row r="853" spans="7:7" x14ac:dyDescent="0.25"/>
    <row r="854" spans="7:7" x14ac:dyDescent="0.25"/>
    <row r="855" spans="7:7" x14ac:dyDescent="0.25"/>
    <row r="856" spans="7:7" x14ac:dyDescent="0.25"/>
    <row r="857" spans="7:7" x14ac:dyDescent="0.25"/>
    <row r="858" spans="7:7" x14ac:dyDescent="0.25"/>
    <row r="859" spans="7:7" x14ac:dyDescent="0.25"/>
    <row r="860" spans="7:7" x14ac:dyDescent="0.25"/>
    <row r="861" spans="7:7" x14ac:dyDescent="0.25"/>
    <row r="864" ht="24" customHeight="1" spans="1:9" x14ac:dyDescent="0.25">
      <c r="B864" s="7" t="s">
        <v>184</v>
      </c>
      <c r="G864" s="6">
        <f>SUM(G819:G861)</f>
        <v>61188208</v>
      </c>
      <c r="H864" s="6">
        <v>0</v>
      </c>
      <c r="I864" s="6">
        <v>0</v>
      </c>
    </row>
    <row r="867" ht="24" customHeight="1" spans="1:9" x14ac:dyDescent="0.25">
      <c r="B867" s="7" t="s">
        <v>185</v>
      </c>
    </row>
    <row r="868" spans="7:7" x14ac:dyDescent="0.25"/>
    <row r="869" ht="24" customHeight="1" spans="1:9" x14ac:dyDescent="0.25">
      <c r="B869" s="7" t="s">
        <v>186</v>
      </c>
    </row>
    <row r="870" spans="7:7" x14ac:dyDescent="0.25"/>
    <row r="871" ht="24" customHeight="1" spans="1:9" x14ac:dyDescent="0.25">
      <c r="A871" s="7" t="s">
        <v>12</v>
      </c>
      <c r="B871" s="7" t="s">
        <v>187</v>
      </c>
      <c r="C871" s="8">
        <v>1</v>
      </c>
      <c r="E871" s="9" t="s">
        <v>55</v>
      </c>
      <c r="F871" s="6">
        <v>8000000</v>
      </c>
      <c r="G871" s="6">
        <f>ROUND(C871*F871,2)</f>
        <v>8000000</v>
      </c>
      <c r="H871" s="6">
        <v>0</v>
      </c>
      <c r="I871" s="6">
        <v>0</v>
      </c>
    </row>
    <row r="872" spans="7:7" x14ac:dyDescent="0.25"/>
    <row r="873" spans="7:7" x14ac:dyDescent="0.25"/>
    <row r="874" ht="24" customHeight="1" spans="1:9" x14ac:dyDescent="0.25">
      <c r="B874" s="7" t="s">
        <v>188</v>
      </c>
    </row>
    <row r="875" spans="7:7" x14ac:dyDescent="0.25"/>
    <row r="876" ht="24" customHeight="1" spans="1:9" x14ac:dyDescent="0.25">
      <c r="A876" s="7" t="s">
        <v>19</v>
      </c>
      <c r="B876" s="7" t="s">
        <v>189</v>
      </c>
      <c r="C876" s="8">
        <v>1</v>
      </c>
      <c r="E876" s="9" t="s">
        <v>55</v>
      </c>
      <c r="F876" s="6">
        <v>5000000</v>
      </c>
      <c r="G876" s="6">
        <f>ROUND(C876*F876,2)</f>
        <v>5000000</v>
      </c>
      <c r="H876" s="6">
        <v>0</v>
      </c>
      <c r="I876" s="6">
        <v>0</v>
      </c>
    </row>
    <row r="877" spans="7:7" x14ac:dyDescent="0.25"/>
    <row r="878" spans="7:7" x14ac:dyDescent="0.25"/>
    <row r="879" spans="7:7" x14ac:dyDescent="0.25"/>
    <row r="880" spans="7:7" x14ac:dyDescent="0.25"/>
    <row r="881" spans="7:7" x14ac:dyDescent="0.25"/>
    <row r="882" spans="7:7" x14ac:dyDescent="0.25"/>
    <row r="883" spans="7:7" x14ac:dyDescent="0.25"/>
    <row r="884" spans="7:7" x14ac:dyDescent="0.25"/>
    <row r="885" spans="7:7" x14ac:dyDescent="0.25"/>
    <row r="886" spans="7:7" x14ac:dyDescent="0.25"/>
    <row r="887" spans="7:7" x14ac:dyDescent="0.25"/>
    <row r="888" spans="7:7" x14ac:dyDescent="0.25"/>
    <row r="889" spans="7:7" x14ac:dyDescent="0.25"/>
    <row r="890" spans="7:7" x14ac:dyDescent="0.25"/>
    <row r="891" spans="7:7" x14ac:dyDescent="0.25"/>
    <row r="892" spans="7:7" x14ac:dyDescent="0.25"/>
    <row r="893" spans="7:7" x14ac:dyDescent="0.25"/>
    <row r="894" spans="7:7" x14ac:dyDescent="0.25"/>
    <row r="895" spans="7:7" x14ac:dyDescent="0.25"/>
    <row r="896" spans="7:7" x14ac:dyDescent="0.25"/>
    <row r="897" spans="7:7" x14ac:dyDescent="0.25"/>
    <row r="898" spans="7:7" x14ac:dyDescent="0.25"/>
    <row r="899" spans="7:7" x14ac:dyDescent="0.25"/>
    <row r="900" spans="7:7" x14ac:dyDescent="0.25"/>
    <row r="901" spans="7:7" x14ac:dyDescent="0.25"/>
    <row r="902" spans="7:7" x14ac:dyDescent="0.25"/>
    <row r="903" spans="7:7" x14ac:dyDescent="0.25"/>
    <row r="904" spans="7:7" x14ac:dyDescent="0.25"/>
    <row r="905" spans="7:7" x14ac:dyDescent="0.25"/>
    <row r="906" spans="7:7" x14ac:dyDescent="0.25"/>
    <row r="907" spans="7:7" x14ac:dyDescent="0.25"/>
    <row r="908" spans="7:7" x14ac:dyDescent="0.25"/>
    <row r="909" spans="7:7" x14ac:dyDescent="0.25"/>
    <row r="910" spans="7:7" x14ac:dyDescent="0.25"/>
    <row r="911" spans="7:7" x14ac:dyDescent="0.25"/>
    <row r="912" spans="7:7" x14ac:dyDescent="0.25"/>
    <row r="916" ht="24" customHeight="1" spans="1:9" x14ac:dyDescent="0.25">
      <c r="B916" s="7" t="s">
        <v>190</v>
      </c>
      <c r="G916" s="6">
        <f>SUM(G867:G912)</f>
        <v>13000000</v>
      </c>
      <c r="H916" s="6">
        <v>0</v>
      </c>
      <c r="I916" s="6">
        <v>0</v>
      </c>
    </row>
    <row r="920" ht="24" customHeight="1" spans="1:9" x14ac:dyDescent="0.25">
      <c r="B920" s="7" t="s">
        <v>191</v>
      </c>
    </row>
    <row r="921" spans="7:7" x14ac:dyDescent="0.25"/>
    <row r="922" spans="7:7" x14ac:dyDescent="0.25"/>
    <row r="923" ht="24" customHeight="1" spans="1:9" x14ac:dyDescent="0.25">
      <c r="B923" s="7" t="s">
        <v>192</v>
      </c>
    </row>
    <row r="924" spans="7:7" x14ac:dyDescent="0.25"/>
    <row r="925" spans="7:7" x14ac:dyDescent="0.25"/>
    <row r="926" spans="7:7" x14ac:dyDescent="0.25"/>
    <row r="927" ht="24" customHeight="1" spans="1:9" x14ac:dyDescent="0.25">
      <c r="B927" s="7" t="s">
        <v>193</v>
      </c>
      <c r="G927" s="6">
        <f>G154</f>
        <v>13355198.6</v>
      </c>
      <c r="H927" s="6">
        <v>0</v>
      </c>
      <c r="I927" s="6">
        <v>0</v>
      </c>
    </row>
    <row r="928" spans="7:7" x14ac:dyDescent="0.25"/>
    <row r="929" spans="7:7" x14ac:dyDescent="0.25"/>
    <row r="930" spans="7:7" x14ac:dyDescent="0.25"/>
    <row r="931" spans="7:7" x14ac:dyDescent="0.25"/>
    <row r="932" ht="24" customHeight="1" spans="1:9" x14ac:dyDescent="0.25">
      <c r="B932" s="7" t="s">
        <v>194</v>
      </c>
      <c r="G932" s="6">
        <f>G311</f>
        <v>11426412.4</v>
      </c>
      <c r="H932" s="6">
        <v>0</v>
      </c>
      <c r="I932" s="6">
        <v>0</v>
      </c>
    </row>
    <row r="933" spans="7:7" x14ac:dyDescent="0.25"/>
    <row r="934" spans="7:7" x14ac:dyDescent="0.25"/>
    <row r="935" spans="7:7" x14ac:dyDescent="0.25"/>
    <row r="936" spans="7:7" x14ac:dyDescent="0.25"/>
    <row r="937" ht="24" customHeight="1" spans="1:9" x14ac:dyDescent="0.25">
      <c r="B937" s="7" t="s">
        <v>195</v>
      </c>
      <c r="G937" s="6">
        <f>G463</f>
        <v>3917565.45</v>
      </c>
      <c r="H937" s="6">
        <v>0</v>
      </c>
      <c r="I937" s="6">
        <v>0</v>
      </c>
    </row>
    <row r="938" spans="7:7" x14ac:dyDescent="0.25"/>
    <row r="939" spans="7:7" x14ac:dyDescent="0.25"/>
    <row r="940" spans="7:7" x14ac:dyDescent="0.25"/>
    <row r="941" spans="7:7" x14ac:dyDescent="0.25"/>
    <row r="942" ht="24" customHeight="1" spans="1:9" x14ac:dyDescent="0.25">
      <c r="B942" s="7" t="s">
        <v>196</v>
      </c>
      <c r="G942" s="6">
        <f>G611</f>
        <v>14225847.5</v>
      </c>
      <c r="H942" s="6">
        <v>0</v>
      </c>
      <c r="I942" s="6">
        <v>0</v>
      </c>
    </row>
    <row r="943" spans="7:7" x14ac:dyDescent="0.25"/>
    <row r="944" spans="7:7" x14ac:dyDescent="0.25"/>
    <row r="945" spans="7:7" x14ac:dyDescent="0.25"/>
    <row r="946" spans="7:7" x14ac:dyDescent="0.25"/>
    <row r="947" ht="24" customHeight="1" spans="1:9" x14ac:dyDescent="0.25">
      <c r="B947" s="7" t="s">
        <v>197</v>
      </c>
      <c r="G947" s="6">
        <f>G661</f>
        <v>9400000</v>
      </c>
      <c r="H947" s="6">
        <v>0</v>
      </c>
      <c r="I947" s="6">
        <v>0</v>
      </c>
    </row>
    <row r="948" spans="7:7" x14ac:dyDescent="0.25"/>
    <row r="949" spans="7:7" x14ac:dyDescent="0.25"/>
    <row r="950" spans="7:7" x14ac:dyDescent="0.25"/>
    <row r="951" spans="7:7" x14ac:dyDescent="0.25"/>
    <row r="952" ht="24" customHeight="1" spans="1:9" x14ac:dyDescent="0.25">
      <c r="B952" s="7" t="s">
        <v>198</v>
      </c>
      <c r="G952" s="6">
        <f>G864</f>
        <v>61188208</v>
      </c>
      <c r="H952" s="6">
        <v>0</v>
      </c>
      <c r="I952" s="6">
        <v>0</v>
      </c>
    </row>
    <row r="953" spans="7:7" x14ac:dyDescent="0.25"/>
    <row r="954" spans="7:7" x14ac:dyDescent="0.25"/>
    <row r="955" spans="7:7" x14ac:dyDescent="0.25"/>
    <row r="956" spans="7:7" x14ac:dyDescent="0.25"/>
    <row r="957" ht="24" customHeight="1" spans="1:9" x14ac:dyDescent="0.25">
      <c r="B957" s="7" t="s">
        <v>199</v>
      </c>
      <c r="G957" s="6">
        <f>G916</f>
        <v>13000000</v>
      </c>
      <c r="H957" s="6">
        <v>0</v>
      </c>
      <c r="I957" s="6">
        <v>0</v>
      </c>
    </row>
    <row r="958" spans="7:7" x14ac:dyDescent="0.25"/>
    <row r="959" spans="7:7" x14ac:dyDescent="0.25"/>
    <row r="960" spans="7:7" x14ac:dyDescent="0.25"/>
    <row r="961" spans="7:7" x14ac:dyDescent="0.25"/>
    <row r="962" spans="7:7" x14ac:dyDescent="0.25"/>
    <row r="964" ht="24" customHeight="1" spans="1:9" x14ac:dyDescent="0.25">
      <c r="B964" s="7" t="s">
        <v>200</v>
      </c>
    </row>
    <row r="965" ht="24" customHeight="1" spans="1:9" x14ac:dyDescent="0.25">
      <c r="B965" s="7" t="s">
        <v>201</v>
      </c>
      <c r="G965" s="6">
        <f>SUM(G921:G962)</f>
        <v>126513231.95</v>
      </c>
      <c r="H965" s="6">
        <v>0</v>
      </c>
      <c r="I965" s="6">
        <v>0</v>
      </c>
    </row>
    <row r="966" spans="8:9" x14ac:dyDescent="0.25"/>
  </sheetData>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1"/>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80" customWidth="1"/>
    <col min="3" max="3" width="14" customWidth="1"/>
    <col min="4" max="4" width="2" customWidth="1"/>
    <col min="5" max="5" width="10" customWidth="1"/>
    <col min="6" max="6" width="18" customWidth="1"/>
    <col min="7" max="7" width="22" customWidth="1"/>
    <col min="8" max="8" width="18" customWidth="1"/>
    <col min="9" max="9" width="22" customWidth="1"/>
  </cols>
  <sheetData>
    <row r="1" ht="28" customHeight="1" spans="1:9" x14ac:dyDescent="0.25">
      <c r="A1" s="1" t="s">
        <v>0</v>
      </c>
      <c r="B1" s="1" t="s">
        <v>1</v>
      </c>
      <c r="C1" s="2" t="s">
        <v>2</v>
      </c>
      <c r="D1" s="3" t="s">
        <v>3</v>
      </c>
      <c r="E1" s="4" t="s">
        <v>4</v>
      </c>
      <c r="F1" s="5" t="s">
        <v>5</v>
      </c>
      <c r="G1" s="5" t="s">
        <v>6</v>
      </c>
    </row>
    <row r="2" ht="6" customHeight="1" spans="2:9" x14ac:dyDescent="0.25">
      <c r="F2" s="6" t="s">
        <v>202</v>
      </c>
      <c r="G2" s="6" t="s">
        <v>203</v>
      </c>
    </row>
    <row r="4" ht="24" customHeight="1" spans="2:9" x14ac:dyDescent="0.25">
      <c r="B4" s="7" t="s">
        <v>204</v>
      </c>
    </row>
    <row r="5" spans="7:7" x14ac:dyDescent="0.25"/>
    <row r="6" ht="24" customHeight="1" spans="2:9" x14ac:dyDescent="0.25">
      <c r="B6" s="7" t="s">
        <v>205</v>
      </c>
    </row>
    <row r="7" spans="7:7" x14ac:dyDescent="0.25"/>
    <row r="8" ht="32" customHeight="1" spans="1:9" x14ac:dyDescent="0.25">
      <c r="A8" s="7" t="s">
        <v>12</v>
      </c>
      <c r="B8" s="7" t="s">
        <v>206</v>
      </c>
      <c r="C8" s="8">
        <v>1</v>
      </c>
      <c r="E8" s="9" t="s">
        <v>55</v>
      </c>
      <c r="F8" s="6">
        <v>200000</v>
      </c>
      <c r="G8" s="6">
        <f>ROUND(C8*F8,2)</f>
        <v>200000</v>
      </c>
      <c r="H8" s="6">
        <v>0</v>
      </c>
      <c r="I8" s="6">
        <v>0</v>
      </c>
    </row>
    <row r="9" spans="7:7" x14ac:dyDescent="0.25"/>
    <row r="10" spans="7:7" x14ac:dyDescent="0.25"/>
    <row r="11" ht="24" customHeight="1" spans="1:9" x14ac:dyDescent="0.25">
      <c r="A11" s="7" t="s">
        <v>15</v>
      </c>
      <c r="B11" s="7" t="s">
        <v>207</v>
      </c>
      <c r="C11" s="8">
        <v>3900</v>
      </c>
      <c r="E11" s="9" t="s">
        <v>14</v>
      </c>
      <c r="F11" s="6">
        <v>2500</v>
      </c>
      <c r="G11" s="6">
        <f>ROUND(C11*F11,2)</f>
        <v>9750000</v>
      </c>
      <c r="H11" s="6">
        <v>0</v>
      </c>
      <c r="I11" s="6">
        <v>0</v>
      </c>
    </row>
    <row r="12" spans="7:7" x14ac:dyDescent="0.25"/>
    <row r="13" spans="3:9" x14ac:dyDescent="0.25"/>
    <row r="14" ht="24" customHeight="1" spans="2:9" x14ac:dyDescent="0.25">
      <c r="B14" s="7" t="s">
        <v>208</v>
      </c>
    </row>
    <row r="15" spans="3:9" x14ac:dyDescent="0.25"/>
    <row r="16" ht="24" customHeight="1" spans="1:9" x14ac:dyDescent="0.25">
      <c r="A16" s="7" t="s">
        <v>15</v>
      </c>
      <c r="B16" s="7" t="s">
        <v>209</v>
      </c>
    </row>
    <row r="17" ht="24" customHeight="1" spans="2:9" x14ac:dyDescent="0.25">
      <c r="B17" s="7" t="s">
        <v>210</v>
      </c>
    </row>
    <row r="18" ht="24" customHeight="1" spans="2:9" x14ac:dyDescent="0.25">
      <c r="B18" s="7" t="s">
        <v>211</v>
      </c>
      <c r="C18" s="8">
        <v>582</v>
      </c>
      <c r="E18" s="9" t="s">
        <v>14</v>
      </c>
      <c r="F18" s="6">
        <v>2000</v>
      </c>
      <c r="G18" s="6">
        <f>ROUND(C18*F18,2)</f>
        <v>1164000</v>
      </c>
      <c r="H18" s="6">
        <v>0</v>
      </c>
      <c r="I18" s="6">
        <v>0</v>
      </c>
    </row>
    <row r="19" spans="3:9" x14ac:dyDescent="0.25"/>
    <row r="20" spans="3:9" x14ac:dyDescent="0.25"/>
    <row r="21" ht="24" customHeight="1" spans="1:9" x14ac:dyDescent="0.25">
      <c r="A21" s="7" t="s">
        <v>17</v>
      </c>
      <c r="B21" s="7" t="s">
        <v>212</v>
      </c>
    </row>
    <row r="22" ht="24" customHeight="1" spans="2:9" x14ac:dyDescent="0.25">
      <c r="B22" s="7" t="s">
        <v>213</v>
      </c>
      <c r="C22" s="8">
        <v>1940</v>
      </c>
      <c r="E22" s="9" t="s">
        <v>27</v>
      </c>
      <c r="F22" s="6">
        <v>3800</v>
      </c>
      <c r="G22" s="6">
        <f>ROUND(C22*F22,2)</f>
        <v>7372000</v>
      </c>
      <c r="H22" s="6">
        <v>0</v>
      </c>
      <c r="I22" s="6">
        <v>0</v>
      </c>
    </row>
    <row r="23" spans="3:9" x14ac:dyDescent="0.25"/>
    <row r="24" spans="3:9" x14ac:dyDescent="0.25"/>
    <row r="25" ht="24" customHeight="1" spans="1:9" x14ac:dyDescent="0.25">
      <c r="A25" s="7" t="s">
        <v>19</v>
      </c>
      <c r="B25" s="7" t="s">
        <v>214</v>
      </c>
      <c r="C25" s="8">
        <v>378</v>
      </c>
      <c r="E25" s="9" t="s">
        <v>38</v>
      </c>
      <c r="F25" s="6">
        <v>2500</v>
      </c>
      <c r="G25" s="6">
        <f>ROUND(C25*F25,2)</f>
        <v>945000</v>
      </c>
      <c r="H25" s="6">
        <v>0</v>
      </c>
      <c r="I25" s="6">
        <v>0</v>
      </c>
    </row>
    <row r="26" ht="24" customHeight="1" spans="2:9" x14ac:dyDescent="0.25">
      <c r="B26" s="7" t="s">
        <v>215</v>
      </c>
    </row>
    <row r="27" ht="24" customHeight="1" spans="2:9" x14ac:dyDescent="0.25">
      <c r="B27" s="7" t="s">
        <v>216</v>
      </c>
    </row>
    <row r="28" ht="24" customHeight="1" spans="2:9" x14ac:dyDescent="0.25">
      <c r="B28" s="7" t="s">
        <v>217</v>
      </c>
    </row>
    <row r="29" ht="24" customHeight="1" spans="2:9" x14ac:dyDescent="0.25">
      <c r="B29" s="7" t="s">
        <v>218</v>
      </c>
    </row>
    <row r="30" spans="3:9" x14ac:dyDescent="0.25"/>
    <row r="31" spans="3:9" x14ac:dyDescent="0.25"/>
    <row r="32" ht="24" customHeight="1" spans="1:9" x14ac:dyDescent="0.25">
      <c r="A32" s="7" t="s">
        <v>21</v>
      </c>
      <c r="B32" s="7" t="s">
        <v>219</v>
      </c>
      <c r="C32" s="8">
        <v>55</v>
      </c>
      <c r="E32" s="9" t="s">
        <v>38</v>
      </c>
      <c r="F32" s="6">
        <v>2600</v>
      </c>
      <c r="G32" s="6">
        <f>ROUND(C32*F32,2)</f>
        <v>143000</v>
      </c>
      <c r="H32" s="6">
        <v>0</v>
      </c>
      <c r="I32" s="6">
        <v>0</v>
      </c>
    </row>
    <row r="33" spans="3:9" x14ac:dyDescent="0.25"/>
    <row r="34" spans="3:9" x14ac:dyDescent="0.25"/>
    <row r="35" spans="3:9" x14ac:dyDescent="0.25"/>
    <row r="36" spans="3:9" x14ac:dyDescent="0.25"/>
    <row r="37" spans="3:9" x14ac:dyDescent="0.25"/>
    <row r="38" spans="3:9" x14ac:dyDescent="0.25"/>
    <row r="39" spans="3:9" x14ac:dyDescent="0.25"/>
    <row r="40" spans="3:9" x14ac:dyDescent="0.25"/>
    <row r="41" spans="3:9" x14ac:dyDescent="0.25"/>
    <row r="42" spans="3:9" x14ac:dyDescent="0.25"/>
    <row r="43" spans="3:9" x14ac:dyDescent="0.25"/>
    <row r="44" spans="3:9" x14ac:dyDescent="0.25"/>
    <row r="45" spans="3:9" x14ac:dyDescent="0.25"/>
    <row r="46" spans="3:9" x14ac:dyDescent="0.25"/>
    <row r="47" spans="3:9" x14ac:dyDescent="0.25"/>
    <row r="48" spans="3:9" x14ac:dyDescent="0.25"/>
    <row r="49" spans="3:9" x14ac:dyDescent="0.25"/>
    <row r="50" spans="7:7" x14ac:dyDescent="0.25"/>
    <row r="53" ht="24" customHeight="1" spans="2:9" x14ac:dyDescent="0.25">
      <c r="B53" s="7" t="s">
        <v>220</v>
      </c>
      <c r="G53" s="6">
        <f>SUM(G5:G50)</f>
        <v>19574000</v>
      </c>
      <c r="H53" s="6">
        <v>0</v>
      </c>
      <c r="I53" s="6">
        <v>0</v>
      </c>
    </row>
    <row r="56" spans="7:7" x14ac:dyDescent="0.25"/>
    <row r="57" ht="24" customHeight="1" spans="2:9" x14ac:dyDescent="0.25">
      <c r="B57" s="7" t="s">
        <v>221</v>
      </c>
    </row>
    <row r="58" spans="7:7" x14ac:dyDescent="0.25"/>
    <row r="59" ht="24" customHeight="1" spans="1:9" x14ac:dyDescent="0.25">
      <c r="A59" s="7" t="s">
        <v>12</v>
      </c>
      <c r="B59" s="7" t="s">
        <v>222</v>
      </c>
      <c r="C59" s="8">
        <v>921</v>
      </c>
      <c r="E59" s="9" t="s">
        <v>27</v>
      </c>
      <c r="F59" s="6">
        <v>750</v>
      </c>
      <c r="G59" s="6">
        <f>ROUND(C59*F59,2)</f>
        <v>690750</v>
      </c>
      <c r="H59" s="6">
        <v>0</v>
      </c>
      <c r="I59" s="6">
        <v>0</v>
      </c>
    </row>
    <row r="60" ht="24" customHeight="1" spans="2:9" x14ac:dyDescent="0.25">
      <c r="B60" s="7" t="s">
        <v>223</v>
      </c>
    </row>
    <row r="61" ht="24" customHeight="1" spans="2:9" x14ac:dyDescent="0.25">
      <c r="B61" s="7" t="s">
        <v>224</v>
      </c>
    </row>
    <row r="62" spans="3:9" x14ac:dyDescent="0.25"/>
    <row r="63" spans="3:9" x14ac:dyDescent="0.25"/>
    <row r="64" ht="24" customHeight="1" spans="1:9" x14ac:dyDescent="0.25">
      <c r="A64" s="7" t="s">
        <v>15</v>
      </c>
      <c r="B64" s="7" t="s">
        <v>225</v>
      </c>
      <c r="C64" s="8">
        <f>C59</f>
        <v>921</v>
      </c>
      <c r="E64" s="9" t="s">
        <v>27</v>
      </c>
      <c r="F64" s="6">
        <v>350</v>
      </c>
      <c r="G64" s="6">
        <f>ROUND(C64*F64,2)</f>
        <v>322350</v>
      </c>
      <c r="H64" s="6">
        <v>0</v>
      </c>
      <c r="I64" s="6">
        <v>0</v>
      </c>
    </row>
    <row r="65" ht="24" customHeight="1" spans="2:9" x14ac:dyDescent="0.25">
      <c r="B65" s="7" t="s">
        <v>226</v>
      </c>
    </row>
    <row r="66" ht="24" customHeight="1" spans="2:9" x14ac:dyDescent="0.25">
      <c r="B66" s="7" t="s">
        <v>227</v>
      </c>
    </row>
    <row r="67" ht="24" customHeight="1" spans="2:9" x14ac:dyDescent="0.25">
      <c r="B67" s="7" t="s">
        <v>228</v>
      </c>
    </row>
    <row r="68" spans="7:7" x14ac:dyDescent="0.25"/>
    <row r="69" spans="7:7" x14ac:dyDescent="0.25"/>
    <row r="70" ht="24" customHeight="1" spans="1:9" x14ac:dyDescent="0.25">
      <c r="A70" s="7" t="s">
        <v>17</v>
      </c>
      <c r="B70" s="7" t="s">
        <v>229</v>
      </c>
      <c r="C70" s="8">
        <v>1</v>
      </c>
      <c r="E70" s="9" t="s">
        <v>55</v>
      </c>
      <c r="F70" s="6">
        <v>750000</v>
      </c>
      <c r="G70" s="6">
        <f>ROUND(C70*F70,2)</f>
        <v>750000</v>
      </c>
      <c r="H70" s="6">
        <v>0</v>
      </c>
      <c r="I70" s="6">
        <v>0</v>
      </c>
    </row>
    <row r="71" spans="7:7" x14ac:dyDescent="0.25"/>
    <row r="72" spans="7:7" x14ac:dyDescent="0.25"/>
    <row r="73" ht="24" customHeight="1" spans="2:9" x14ac:dyDescent="0.25">
      <c r="B73" s="7" t="s">
        <v>230</v>
      </c>
    </row>
    <row r="74" spans="3:9" x14ac:dyDescent="0.25"/>
    <row r="75" ht="24" customHeight="1" spans="1:9" x14ac:dyDescent="0.25">
      <c r="A75" s="7" t="s">
        <v>19</v>
      </c>
      <c r="B75" s="7" t="s">
        <v>231</v>
      </c>
      <c r="C75" s="8">
        <v>310</v>
      </c>
      <c r="E75" s="9" t="s">
        <v>14</v>
      </c>
      <c r="F75" s="6">
        <v>550</v>
      </c>
      <c r="G75" s="6">
        <f>ROUND(C75*F75,2)</f>
        <v>170500</v>
      </c>
      <c r="H75" s="6">
        <v>0</v>
      </c>
      <c r="I75" s="6">
        <v>0</v>
      </c>
    </row>
    <row r="76" spans="3:9" x14ac:dyDescent="0.25"/>
    <row r="77" spans="3:9" x14ac:dyDescent="0.25"/>
    <row r="78" ht="24" customHeight="1" spans="1:9" x14ac:dyDescent="0.25">
      <c r="A78" s="7" t="s">
        <v>21</v>
      </c>
      <c r="B78" s="7" t="s">
        <v>232</v>
      </c>
      <c r="C78" s="8">
        <v>138</v>
      </c>
      <c r="E78" s="9" t="s">
        <v>27</v>
      </c>
      <c r="F78" s="6">
        <v>10000</v>
      </c>
      <c r="G78" s="6">
        <f>ROUND(C78*F78,2)</f>
        <v>1380000</v>
      </c>
      <c r="H78" s="6">
        <v>0</v>
      </c>
      <c r="I78" s="6">
        <v>0</v>
      </c>
    </row>
    <row r="79" spans="3:9" x14ac:dyDescent="0.25"/>
    <row r="80" spans="3:9" x14ac:dyDescent="0.25"/>
    <row r="81" ht="24" customHeight="1" spans="1:9" x14ac:dyDescent="0.25">
      <c r="A81" s="7" t="s">
        <v>23</v>
      </c>
      <c r="B81" s="7" t="s">
        <v>233</v>
      </c>
      <c r="C81" s="8">
        <v>47</v>
      </c>
      <c r="E81" s="9" t="s">
        <v>14</v>
      </c>
      <c r="F81" s="6">
        <v>25000</v>
      </c>
      <c r="G81" s="6">
        <f>ROUND(C81*F81,2)</f>
        <v>1175000</v>
      </c>
      <c r="H81" s="6">
        <v>0</v>
      </c>
      <c r="I81" s="6">
        <v>0</v>
      </c>
    </row>
    <row r="82" spans="3:9" x14ac:dyDescent="0.25"/>
    <row r="83" ht="24" customHeight="1" spans="2:9" x14ac:dyDescent="0.25">
      <c r="B83" s="7" t="s">
        <v>234</v>
      </c>
    </row>
    <row r="84" spans="3:9" x14ac:dyDescent="0.25"/>
    <row r="85" ht="24" customHeight="1" spans="1:9" x14ac:dyDescent="0.25">
      <c r="A85" s="7" t="s">
        <v>25</v>
      </c>
      <c r="B85" s="7" t="s">
        <v>35</v>
      </c>
      <c r="C85" s="8">
        <v>32</v>
      </c>
      <c r="E85" s="9" t="s">
        <v>14</v>
      </c>
      <c r="F85" s="6">
        <v>30000</v>
      </c>
      <c r="G85" s="6">
        <f>ROUND(C85*F85,2)</f>
        <v>960000</v>
      </c>
      <c r="H85" s="6">
        <v>0</v>
      </c>
      <c r="I85" s="6">
        <v>0</v>
      </c>
    </row>
    <row r="86" spans="3:9" x14ac:dyDescent="0.25"/>
    <row r="87" spans="3:9" x14ac:dyDescent="0.25"/>
    <row r="88" ht="24" customHeight="1" spans="1:9" x14ac:dyDescent="0.25">
      <c r="A88" s="7" t="s">
        <v>29</v>
      </c>
      <c r="B88" s="7" t="s">
        <v>64</v>
      </c>
      <c r="C88" s="8">
        <v>27</v>
      </c>
      <c r="E88" s="9" t="s">
        <v>14</v>
      </c>
      <c r="F88" s="6">
        <v>30000</v>
      </c>
      <c r="G88" s="6">
        <f>ROUND(C88*F88,2)</f>
        <v>810000</v>
      </c>
      <c r="H88" s="6">
        <v>0</v>
      </c>
      <c r="I88" s="6">
        <v>0</v>
      </c>
    </row>
    <row r="89" spans="3:9" x14ac:dyDescent="0.25"/>
    <row r="90" ht="24" customHeight="1" spans="2:9" x14ac:dyDescent="0.25">
      <c r="B90" s="7" t="s">
        <v>235</v>
      </c>
    </row>
    <row r="91" spans="3:9" x14ac:dyDescent="0.25"/>
    <row r="92" ht="24" customHeight="1" spans="1:9" x14ac:dyDescent="0.25">
      <c r="A92" s="7" t="s">
        <v>31</v>
      </c>
      <c r="B92" s="7" t="s">
        <v>236</v>
      </c>
      <c r="C92" s="8">
        <v>141</v>
      </c>
      <c r="E92" s="9" t="s">
        <v>27</v>
      </c>
      <c r="F92" s="6">
        <v>1250</v>
      </c>
      <c r="G92" s="6">
        <f>ROUND(C92*F92,2)</f>
        <v>176250</v>
      </c>
      <c r="H92" s="6">
        <v>0</v>
      </c>
      <c r="I92" s="6">
        <v>0</v>
      </c>
    </row>
    <row r="93" spans="3:9" x14ac:dyDescent="0.25"/>
    <row r="94" spans="3:9" x14ac:dyDescent="0.25"/>
    <row r="95" ht="24" customHeight="1" spans="1:9" x14ac:dyDescent="0.25">
      <c r="A95" s="7" t="s">
        <v>34</v>
      </c>
      <c r="B95" s="7" t="s">
        <v>237</v>
      </c>
      <c r="C95" s="8">
        <v>469</v>
      </c>
      <c r="E95" s="9" t="s">
        <v>27</v>
      </c>
      <c r="F95" s="6">
        <v>1250</v>
      </c>
      <c r="G95" s="6">
        <f>ROUND(C95*F95,2)</f>
        <v>586250</v>
      </c>
      <c r="H95" s="6">
        <v>0</v>
      </c>
      <c r="I95" s="6">
        <v>0</v>
      </c>
    </row>
    <row r="96" spans="3:9" x14ac:dyDescent="0.25"/>
    <row r="97" ht="6" customHeight="1" spans="2:9" x14ac:dyDescent="0.25">
      <c r="B97" s="7" t="s">
        <v>3</v>
      </c>
    </row>
    <row r="98" spans="3:9" x14ac:dyDescent="0.25"/>
    <row r="99" spans="3:9" x14ac:dyDescent="0.25"/>
    <row r="100" spans="3:9" x14ac:dyDescent="0.25"/>
    <row r="101" spans="3:9" x14ac:dyDescent="0.25"/>
    <row r="102" spans="3:9" x14ac:dyDescent="0.25"/>
    <row r="106" ht="24" customHeight="1" spans="2:9" x14ac:dyDescent="0.25">
      <c r="B106" s="7" t="s">
        <v>238</v>
      </c>
      <c r="G106" s="6">
        <f>SUM(G56:G102)</f>
        <v>7021100</v>
      </c>
      <c r="H106" s="6">
        <v>0</v>
      </c>
      <c r="I106" s="6">
        <v>0</v>
      </c>
    </row>
    <row r="109" ht="24" customHeight="1" spans="2:9" x14ac:dyDescent="0.25">
      <c r="B109" s="7" t="s">
        <v>239</v>
      </c>
    </row>
    <row r="110" spans="3:9" x14ac:dyDescent="0.25"/>
    <row r="111" ht="24" customHeight="1" spans="1:9" x14ac:dyDescent="0.25">
      <c r="A111" s="7" t="s">
        <v>12</v>
      </c>
      <c r="B111" s="7" t="s">
        <v>240</v>
      </c>
      <c r="C111" s="8">
        <v>3546</v>
      </c>
      <c r="E111" s="9" t="s">
        <v>48</v>
      </c>
      <c r="F111" s="6">
        <v>1200</v>
      </c>
      <c r="G111" s="6">
        <f>ROUND(C111*F111,2)</f>
        <v>4255200</v>
      </c>
      <c r="H111" s="6">
        <v>0</v>
      </c>
      <c r="I111" s="6">
        <v>0</v>
      </c>
    </row>
    <row r="112" spans="3:9" x14ac:dyDescent="0.25"/>
    <row r="113" spans="3:9" x14ac:dyDescent="0.25"/>
    <row r="114" ht="24" customHeight="1" spans="1:9" x14ac:dyDescent="0.25">
      <c r="A114" s="7" t="s">
        <v>15</v>
      </c>
      <c r="B114" s="7" t="s">
        <v>241</v>
      </c>
      <c r="C114" s="8">
        <v>2536</v>
      </c>
      <c r="E114" s="9" t="s">
        <v>48</v>
      </c>
      <c r="F114" s="6">
        <f>F111</f>
        <v>1200</v>
      </c>
      <c r="G114" s="6">
        <f>ROUND(C114*F114,2)</f>
        <v>3043200</v>
      </c>
      <c r="H114" s="6">
        <v>0</v>
      </c>
      <c r="I114" s="6">
        <v>0</v>
      </c>
    </row>
    <row r="115" spans="3:9" x14ac:dyDescent="0.25"/>
    <row r="116" spans="3:9" x14ac:dyDescent="0.25"/>
    <row r="117" ht="24" customHeight="1" spans="1:9" x14ac:dyDescent="0.25">
      <c r="A117" s="7" t="s">
        <v>17</v>
      </c>
      <c r="B117" s="7" t="s">
        <v>242</v>
      </c>
      <c r="C117" s="8">
        <v>1550</v>
      </c>
      <c r="E117" s="9" t="s">
        <v>48</v>
      </c>
      <c r="F117" s="6">
        <f>F114</f>
        <v>1200</v>
      </c>
      <c r="G117" s="6">
        <f>ROUND(C117*F117,2)</f>
        <v>1860000</v>
      </c>
      <c r="H117" s="6">
        <v>0</v>
      </c>
      <c r="I117" s="6">
        <v>0</v>
      </c>
    </row>
    <row r="118" spans="3:9" x14ac:dyDescent="0.25"/>
    <row r="119" spans="3:9" x14ac:dyDescent="0.25"/>
    <row r="120" ht="24" customHeight="1" spans="2:9" x14ac:dyDescent="0.25">
      <c r="B120" s="7" t="s">
        <v>243</v>
      </c>
    </row>
    <row r="121" spans="3:9" x14ac:dyDescent="0.25"/>
    <row r="122" ht="24" customHeight="1" spans="1:9" x14ac:dyDescent="0.25">
      <c r="A122" s="7" t="s">
        <v>19</v>
      </c>
      <c r="B122" s="7" t="s">
        <v>244</v>
      </c>
      <c r="C122" s="8">
        <v>299</v>
      </c>
      <c r="E122" s="9" t="s">
        <v>38</v>
      </c>
      <c r="F122" s="6">
        <v>2500</v>
      </c>
      <c r="G122" s="6">
        <f>ROUND(C122*F122,2)</f>
        <v>747500</v>
      </c>
      <c r="H122" s="6">
        <v>0</v>
      </c>
      <c r="I122" s="6">
        <v>0</v>
      </c>
    </row>
    <row r="123" spans="3:9" x14ac:dyDescent="0.25"/>
    <row r="124" spans="3:9" x14ac:dyDescent="0.25"/>
    <row r="125" ht="24" customHeight="1" spans="1:9" x14ac:dyDescent="0.25">
      <c r="A125" s="7" t="s">
        <v>21</v>
      </c>
      <c r="B125" s="7" t="s">
        <v>245</v>
      </c>
      <c r="C125" s="8">
        <v>170</v>
      </c>
      <c r="E125" s="9" t="s">
        <v>109</v>
      </c>
      <c r="F125" s="6">
        <v>5000</v>
      </c>
      <c r="G125" s="6">
        <f>ROUND(C125*F125,2)</f>
        <v>850000</v>
      </c>
      <c r="H125" s="6">
        <v>0</v>
      </c>
      <c r="I125" s="6">
        <v>0</v>
      </c>
    </row>
    <row r="126" spans="3:9" x14ac:dyDescent="0.25"/>
    <row r="127" ht="6" customHeight="1" spans="2:9" x14ac:dyDescent="0.25">
      <c r="B127" s="7" t="s">
        <v>3</v>
      </c>
    </row>
    <row r="128" spans="3:9" x14ac:dyDescent="0.25"/>
    <row r="129" ht="24" customHeight="1" spans="1:9" x14ac:dyDescent="0.25">
      <c r="A129" s="7" t="s">
        <v>23</v>
      </c>
      <c r="B129" s="7" t="s">
        <v>246</v>
      </c>
      <c r="C129" s="8">
        <v>897</v>
      </c>
      <c r="E129" s="9" t="s">
        <v>27</v>
      </c>
      <c r="F129" s="6">
        <v>3500</v>
      </c>
      <c r="G129" s="6">
        <f>ROUND(C129*F129,2)</f>
        <v>3139500</v>
      </c>
      <c r="H129" s="6">
        <v>0</v>
      </c>
      <c r="I129" s="6">
        <v>0</v>
      </c>
    </row>
    <row r="130" spans="3:9" x14ac:dyDescent="0.25"/>
    <row r="131" spans="3:9" x14ac:dyDescent="0.25"/>
    <row r="132" ht="24" customHeight="1" spans="1:9" x14ac:dyDescent="0.25">
      <c r="A132" s="7" t="s">
        <v>25</v>
      </c>
      <c r="B132" s="7" t="s">
        <v>247</v>
      </c>
      <c r="C132" s="8">
        <v>1420</v>
      </c>
      <c r="E132" s="9" t="s">
        <v>27</v>
      </c>
      <c r="F132" s="6">
        <v>750</v>
      </c>
      <c r="G132" s="6">
        <f>ROUND(C132*F132,2)</f>
        <v>1065000</v>
      </c>
      <c r="H132" s="6">
        <v>0</v>
      </c>
      <c r="I132" s="6">
        <v>0</v>
      </c>
    </row>
    <row r="133" spans="3:9" x14ac:dyDescent="0.25"/>
    <row r="134" spans="3:9" x14ac:dyDescent="0.25"/>
    <row r="135" ht="24" customHeight="1" spans="1:9" x14ac:dyDescent="0.25">
      <c r="A135" s="7" t="s">
        <v>29</v>
      </c>
      <c r="B135" s="7" t="s">
        <v>248</v>
      </c>
      <c r="C135" s="8">
        <f>C132</f>
        <v>1420</v>
      </c>
      <c r="E135" s="9" t="s">
        <v>27</v>
      </c>
      <c r="F135" s="6">
        <v>650</v>
      </c>
      <c r="G135" s="6">
        <f>ROUND(C135*F135,2)</f>
        <v>923000</v>
      </c>
      <c r="H135" s="6">
        <v>0</v>
      </c>
      <c r="I135" s="6">
        <v>0</v>
      </c>
    </row>
    <row r="136" ht="24" customHeight="1" spans="2:9" x14ac:dyDescent="0.25">
      <c r="B136" s="7" t="s">
        <v>249</v>
      </c>
    </row>
    <row r="137" spans="7:7" x14ac:dyDescent="0.25"/>
    <row r="138" spans="7:7" x14ac:dyDescent="0.25"/>
    <row r="139" ht="24" customHeight="1" spans="1:9" x14ac:dyDescent="0.25">
      <c r="A139" s="7" t="s">
        <v>31</v>
      </c>
      <c r="B139" s="7" t="s">
        <v>250</v>
      </c>
      <c r="C139" s="8">
        <v>1</v>
      </c>
      <c r="E139" s="9" t="s">
        <v>55</v>
      </c>
      <c r="F139" s="6">
        <v>5000000</v>
      </c>
      <c r="G139" s="6">
        <f>ROUND(C139*F139,2)</f>
        <v>5000000</v>
      </c>
      <c r="H139" s="6">
        <v>0</v>
      </c>
      <c r="I139" s="6">
        <v>0</v>
      </c>
    </row>
    <row r="140" spans="7:7" x14ac:dyDescent="0.25"/>
    <row r="141" spans="7:7" x14ac:dyDescent="0.25"/>
    <row r="142" ht="24" customHeight="1" spans="1:9" x14ac:dyDescent="0.25">
      <c r="A142" s="7" t="s">
        <v>34</v>
      </c>
      <c r="B142" s="7" t="s">
        <v>251</v>
      </c>
      <c r="C142" s="8">
        <v>1</v>
      </c>
      <c r="E142" s="9" t="s">
        <v>55</v>
      </c>
      <c r="F142" s="6">
        <v>1000000</v>
      </c>
      <c r="G142" s="6">
        <f>ROUND(C142*F142,2)</f>
        <v>1000000</v>
      </c>
      <c r="H142" s="6">
        <v>0</v>
      </c>
      <c r="I142" s="6">
        <v>0</v>
      </c>
    </row>
    <row r="143" spans="7:7" x14ac:dyDescent="0.25"/>
    <row r="144" spans="7:7" x14ac:dyDescent="0.25"/>
    <row r="145" ht="24" customHeight="1" spans="1:9" x14ac:dyDescent="0.25">
      <c r="A145" s="7" t="s">
        <v>36</v>
      </c>
      <c r="B145" s="7" t="s">
        <v>252</v>
      </c>
      <c r="C145" s="8">
        <v>1</v>
      </c>
      <c r="E145" s="9" t="s">
        <v>55</v>
      </c>
      <c r="F145" s="6">
        <v>7000000</v>
      </c>
      <c r="G145" s="6">
        <f>ROUND(C145*F145,2)</f>
        <v>7000000</v>
      </c>
      <c r="H145" s="6">
        <v>0</v>
      </c>
      <c r="I145" s="6">
        <v>0</v>
      </c>
    </row>
    <row r="146" spans="7:7" x14ac:dyDescent="0.25"/>
    <row r="147" spans="7:7" x14ac:dyDescent="0.25"/>
    <row r="148" spans="7:7" x14ac:dyDescent="0.25"/>
    <row r="149" ht="6" customHeight="1" spans="2:9" x14ac:dyDescent="0.25">
      <c r="B149" s="7" t="s">
        <v>3</v>
      </c>
    </row>
    <row r="150" spans="7:7" x14ac:dyDescent="0.25"/>
    <row r="151" ht="24" customHeight="1" spans="1:9" x14ac:dyDescent="0.25">
      <c r="A151" s="7" t="s">
        <v>38</v>
      </c>
      <c r="B151" s="7" t="s">
        <v>253</v>
      </c>
      <c r="C151" s="8">
        <v>1</v>
      </c>
      <c r="E151" s="9" t="s">
        <v>55</v>
      </c>
      <c r="F151" s="6">
        <v>5000000</v>
      </c>
      <c r="G151" s="6">
        <f>ROUND(C151*F151,2)</f>
        <v>5000000</v>
      </c>
      <c r="H151" s="6">
        <v>0</v>
      </c>
      <c r="I151" s="6">
        <v>0</v>
      </c>
    </row>
    <row r="152" spans="7:7" x14ac:dyDescent="0.25"/>
    <row r="153" spans="7:7" x14ac:dyDescent="0.25"/>
    <row r="154" ht="24" customHeight="1" spans="1:9" x14ac:dyDescent="0.25">
      <c r="A154" s="7" t="s">
        <v>74</v>
      </c>
      <c r="B154" s="7" t="s">
        <v>254</v>
      </c>
      <c r="C154" s="8">
        <v>1</v>
      </c>
      <c r="E154" s="9" t="s">
        <v>55</v>
      </c>
      <c r="F154" s="6">
        <v>20000000</v>
      </c>
      <c r="G154" s="6">
        <f>ROUND(C154*F154,2)</f>
        <v>20000000</v>
      </c>
      <c r="H154" s="6">
        <v>0</v>
      </c>
      <c r="I154" s="6">
        <v>0</v>
      </c>
    </row>
    <row r="157" ht="24" customHeight="1" spans="2:9" x14ac:dyDescent="0.25">
      <c r="B157" s="7" t="s">
        <v>255</v>
      </c>
      <c r="G157" s="6">
        <f>SUM(G109:G154)</f>
        <v>53883400</v>
      </c>
      <c r="H157" s="6">
        <v>0</v>
      </c>
      <c r="I157" s="6">
        <v>0</v>
      </c>
    </row>
    <row r="160" spans="7:7" x14ac:dyDescent="0.25"/>
    <row r="161" ht="24" customHeight="1" spans="1:9" x14ac:dyDescent="0.25">
      <c r="A161" s="7" t="s">
        <v>12</v>
      </c>
      <c r="B161" s="7" t="s">
        <v>256</v>
      </c>
      <c r="C161" s="8">
        <v>1</v>
      </c>
      <c r="E161" s="9" t="s">
        <v>55</v>
      </c>
      <c r="F161" s="6">
        <v>5000000</v>
      </c>
      <c r="G161" s="6">
        <f>ROUND(C161*F161,2)</f>
        <v>5000000</v>
      </c>
      <c r="H161" s="6">
        <v>0</v>
      </c>
      <c r="I161" s="6">
        <v>0</v>
      </c>
    </row>
    <row r="162" spans="7:7" x14ac:dyDescent="0.25"/>
    <row r="163" spans="7:7" x14ac:dyDescent="0.25"/>
    <row r="164" ht="24" customHeight="1" spans="1:9" x14ac:dyDescent="0.25">
      <c r="A164" s="7" t="s">
        <v>15</v>
      </c>
      <c r="B164" s="7" t="s">
        <v>257</v>
      </c>
      <c r="C164" s="8">
        <v>1</v>
      </c>
      <c r="E164" s="9" t="s">
        <v>55</v>
      </c>
      <c r="F164" s="6">
        <v>8000000</v>
      </c>
      <c r="G164" s="6">
        <f>ROUND(C164*F164,2)</f>
        <v>8000000</v>
      </c>
      <c r="H164" s="6">
        <v>0</v>
      </c>
      <c r="I164" s="6">
        <v>0</v>
      </c>
    </row>
    <row r="165" spans="7:7" x14ac:dyDescent="0.25"/>
    <row r="166" spans="7:7" x14ac:dyDescent="0.25"/>
    <row r="167" ht="24" customHeight="1" spans="1:9" x14ac:dyDescent="0.25">
      <c r="A167" s="7" t="s">
        <v>17</v>
      </c>
      <c r="B167" s="7" t="s">
        <v>258</v>
      </c>
      <c r="C167" s="8">
        <v>1</v>
      </c>
      <c r="E167" s="9" t="s">
        <v>55</v>
      </c>
      <c r="F167" s="6">
        <v>10000000</v>
      </c>
      <c r="G167" s="6">
        <f>ROUND(C167*F167,2)</f>
        <v>10000000</v>
      </c>
      <c r="H167" s="6">
        <v>0</v>
      </c>
      <c r="I167" s="6">
        <v>0</v>
      </c>
    </row>
    <row r="168" spans="7:7" x14ac:dyDescent="0.25"/>
    <row r="169" spans="7:7" x14ac:dyDescent="0.25"/>
    <row r="170" spans="7:7" x14ac:dyDescent="0.25"/>
    <row r="171" ht="24" customHeight="1" spans="1:9" x14ac:dyDescent="0.25">
      <c r="A171" s="7" t="s">
        <v>19</v>
      </c>
      <c r="B171" s="7" t="s">
        <v>259</v>
      </c>
      <c r="C171" s="8">
        <v>1</v>
      </c>
      <c r="E171" s="9" t="s">
        <v>55</v>
      </c>
      <c r="F171" s="6">
        <v>20000000</v>
      </c>
      <c r="G171" s="6">
        <f>ROUND(C171*F171,2)</f>
        <v>20000000</v>
      </c>
      <c r="H171" s="6">
        <v>0</v>
      </c>
      <c r="I171" s="6">
        <v>0</v>
      </c>
    </row>
    <row r="172" spans="7:7" x14ac:dyDescent="0.25"/>
    <row r="173" spans="7:7" x14ac:dyDescent="0.25"/>
    <row r="174" spans="7:7" x14ac:dyDescent="0.25"/>
    <row r="175" spans="7:7" x14ac:dyDescent="0.25"/>
    <row r="176" spans="7:7" x14ac:dyDescent="0.25"/>
    <row r="177" spans="7:7" x14ac:dyDescent="0.25"/>
    <row r="178" spans="7:7" x14ac:dyDescent="0.25"/>
    <row r="179" spans="7:7" x14ac:dyDescent="0.25"/>
    <row r="180" spans="7:7" x14ac:dyDescent="0.25"/>
    <row r="181" spans="7:7" x14ac:dyDescent="0.25"/>
    <row r="182" spans="7:7" x14ac:dyDescent="0.25"/>
    <row r="183" spans="7:7" x14ac:dyDescent="0.25"/>
    <row r="184" spans="7:7" x14ac:dyDescent="0.25"/>
    <row r="185" spans="7:7" x14ac:dyDescent="0.25"/>
    <row r="186" spans="7:7" x14ac:dyDescent="0.25"/>
    <row r="187" spans="7:7" x14ac:dyDescent="0.25"/>
    <row r="188" spans="7:7" x14ac:dyDescent="0.25"/>
    <row r="189" spans="7:7" x14ac:dyDescent="0.25"/>
    <row r="190" spans="7:7" x14ac:dyDescent="0.25"/>
    <row r="191" spans="7:7" x14ac:dyDescent="0.25"/>
    <row r="192" spans="7:7" x14ac:dyDescent="0.25"/>
    <row r="193" spans="7:7" x14ac:dyDescent="0.25"/>
    <row r="194" spans="7:7" x14ac:dyDescent="0.25"/>
    <row r="195" spans="7:7" x14ac:dyDescent="0.25"/>
    <row r="196" spans="7:7" x14ac:dyDescent="0.25"/>
    <row r="197" spans="7:7" x14ac:dyDescent="0.25"/>
    <row r="198" spans="7:7" x14ac:dyDescent="0.25"/>
    <row r="199" spans="7:7" x14ac:dyDescent="0.25"/>
    <row r="200" spans="7:7" x14ac:dyDescent="0.25"/>
    <row r="201" spans="7:7" x14ac:dyDescent="0.25"/>
    <row r="202" spans="7:7" x14ac:dyDescent="0.25"/>
    <row r="203" spans="7:7" x14ac:dyDescent="0.25"/>
    <row r="204" spans="7:7" x14ac:dyDescent="0.25"/>
    <row r="207" ht="24" customHeight="1" spans="2:9" x14ac:dyDescent="0.25">
      <c r="B207" s="7" t="s">
        <v>260</v>
      </c>
      <c r="G207" s="6">
        <f>SUM(G160:G204)</f>
        <v>43000000</v>
      </c>
      <c r="H207" s="6">
        <v>0</v>
      </c>
      <c r="I207" s="6">
        <v>0</v>
      </c>
    </row>
    <row r="211" ht="24" customHeight="1" spans="2:9" x14ac:dyDescent="0.25">
      <c r="B211" s="7" t="s">
        <v>261</v>
      </c>
    </row>
    <row r="214" ht="24" customHeight="1" spans="2:9" x14ac:dyDescent="0.25">
      <c r="B214" s="7" t="s">
        <v>58</v>
      </c>
    </row>
    <row r="215" spans="7:7" x14ac:dyDescent="0.25"/>
    <row r="216" spans="7:7" x14ac:dyDescent="0.25"/>
    <row r="217" spans="7:7" x14ac:dyDescent="0.25"/>
    <row r="218" ht="24" customHeight="1" spans="2:9" x14ac:dyDescent="0.25">
      <c r="B218" s="7" t="s">
        <v>262</v>
      </c>
      <c r="G218" s="6">
        <f>G53</f>
        <v>19574000</v>
      </c>
      <c r="H218" s="6">
        <v>0</v>
      </c>
      <c r="I218" s="6">
        <v>0</v>
      </c>
    </row>
    <row r="219" spans="7:7" x14ac:dyDescent="0.25"/>
    <row r="220" spans="7:7" x14ac:dyDescent="0.25"/>
    <row r="221" spans="7:7" x14ac:dyDescent="0.25"/>
    <row r="222" spans="7:7" x14ac:dyDescent="0.25"/>
    <row r="223" ht="24" customHeight="1" spans="2:9" x14ac:dyDescent="0.25">
      <c r="B223" s="7" t="s">
        <v>263</v>
      </c>
      <c r="G223" s="6">
        <f>G106</f>
        <v>7021100</v>
      </c>
      <c r="H223" s="6">
        <v>0</v>
      </c>
      <c r="I223" s="6">
        <v>0</v>
      </c>
    </row>
    <row r="224" spans="7:7" x14ac:dyDescent="0.25"/>
    <row r="225" spans="7:7" x14ac:dyDescent="0.25"/>
    <row r="226" spans="7:7" x14ac:dyDescent="0.25"/>
    <row r="227" spans="7:7" x14ac:dyDescent="0.25"/>
    <row r="228" ht="24" customHeight="1" spans="2:9" x14ac:dyDescent="0.25">
      <c r="B228" s="7" t="s">
        <v>264</v>
      </c>
      <c r="G228" s="6">
        <f>G157</f>
        <v>53883400</v>
      </c>
      <c r="H228" s="6">
        <v>0</v>
      </c>
      <c r="I228" s="6">
        <v>0</v>
      </c>
    </row>
    <row r="229" spans="7:7" x14ac:dyDescent="0.25"/>
    <row r="230" spans="7:7" x14ac:dyDescent="0.25"/>
    <row r="231" spans="7:7" x14ac:dyDescent="0.25"/>
    <row r="232" spans="7:7" x14ac:dyDescent="0.25"/>
    <row r="233" ht="24" customHeight="1" spans="2:9" x14ac:dyDescent="0.25">
      <c r="B233" s="7" t="s">
        <v>265</v>
      </c>
      <c r="G233" s="6">
        <f>G207</f>
        <v>43000000</v>
      </c>
      <c r="H233" s="6">
        <v>0</v>
      </c>
      <c r="I233" s="6">
        <v>0</v>
      </c>
    </row>
    <row r="234" spans="7:7" x14ac:dyDescent="0.25"/>
    <row r="235" spans="7:7" x14ac:dyDescent="0.25"/>
    <row r="236" spans="7:7" x14ac:dyDescent="0.25"/>
    <row r="237" spans="7:7" x14ac:dyDescent="0.25"/>
    <row r="238" spans="7:7" x14ac:dyDescent="0.25"/>
    <row r="239" spans="7:7" x14ac:dyDescent="0.25"/>
    <row r="240" spans="7:7" x14ac:dyDescent="0.25"/>
    <row r="241" spans="7:7" x14ac:dyDescent="0.25"/>
    <row r="242" spans="7:7" x14ac:dyDescent="0.25"/>
    <row r="243" spans="7:7" x14ac:dyDescent="0.25"/>
    <row r="244" spans="7:7" x14ac:dyDescent="0.25"/>
    <row r="245" spans="7:7" x14ac:dyDescent="0.25"/>
    <row r="246" spans="7:7" x14ac:dyDescent="0.25"/>
    <row r="247" spans="7:7" x14ac:dyDescent="0.25"/>
    <row r="248" spans="7:7" x14ac:dyDescent="0.25"/>
    <row r="249" spans="7:7" x14ac:dyDescent="0.25"/>
    <row r="250" spans="7:7" x14ac:dyDescent="0.25"/>
    <row r="251" spans="7:7" x14ac:dyDescent="0.25"/>
    <row r="252" spans="7:7" x14ac:dyDescent="0.25"/>
    <row r="253" spans="7:7" x14ac:dyDescent="0.25"/>
    <row r="254" spans="7:7" x14ac:dyDescent="0.25"/>
    <row r="255" spans="7:7" x14ac:dyDescent="0.25"/>
    <row r="256" spans="7:7" x14ac:dyDescent="0.25"/>
    <row r="257" spans="7:7" x14ac:dyDescent="0.25"/>
    <row r="260" ht="24" customHeight="1" spans="2:9" x14ac:dyDescent="0.25">
      <c r="B260" s="7" t="s">
        <v>266</v>
      </c>
      <c r="G260" s="6">
        <f>SUM(G214:G257)</f>
        <v>123478500</v>
      </c>
      <c r="H260" s="6">
        <v>0</v>
      </c>
      <c r="I260" s="6">
        <v>0</v>
      </c>
    </row>
    <row r="261" ht="24" customHeight="1" spans="2:9" x14ac:dyDescent="0.25">
      <c r="B261" s="7" t="s">
        <v>267</v>
      </c>
    </row>
  </sheetData>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6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80" customWidth="1"/>
    <col min="3" max="3" width="14" customWidth="1"/>
    <col min="4" max="4" width="2" customWidth="1"/>
    <col min="5" max="5" width="10" customWidth="1"/>
    <col min="6" max="6" width="18" customWidth="1"/>
    <col min="7" max="7" width="22" customWidth="1"/>
    <col min="8" max="8" width="18" customWidth="1"/>
    <col min="9" max="9" width="22" customWidth="1"/>
  </cols>
  <sheetData>
    <row r="1" ht="28" customHeight="1" spans="1:9" x14ac:dyDescent="0.25">
      <c r="A1" s="1" t="s">
        <v>0</v>
      </c>
      <c r="B1" s="1" t="s">
        <v>1</v>
      </c>
      <c r="C1" s="2" t="s">
        <v>2</v>
      </c>
      <c r="D1" s="3" t="s">
        <v>3</v>
      </c>
      <c r="E1" s="4" t="s">
        <v>4</v>
      </c>
      <c r="F1" s="5" t="s">
        <v>5</v>
      </c>
      <c r="G1" s="5" t="s">
        <v>6</v>
      </c>
    </row>
    <row r="2" ht="6" customHeight="1" spans="2:9" x14ac:dyDescent="0.25">
      <c r="F2" s="6" t="s">
        <v>202</v>
      </c>
      <c r="G2" s="6" t="s">
        <v>8</v>
      </c>
    </row>
    <row r="4" ht="24" customHeight="1" spans="2:9" x14ac:dyDescent="0.25">
      <c r="B4" s="7" t="s">
        <v>268</v>
      </c>
    </row>
    <row r="6" ht="24" customHeight="1" spans="2:9" x14ac:dyDescent="0.25">
      <c r="B6" s="7" t="s">
        <v>269</v>
      </c>
    </row>
    <row r="9" ht="24" customHeight="1" spans="2:9" x14ac:dyDescent="0.25">
      <c r="B9" s="7" t="s">
        <v>270</v>
      </c>
    </row>
    <row r="10" ht="24" customHeight="1" spans="2:9" x14ac:dyDescent="0.25">
      <c r="B10" s="7" t="s">
        <v>271</v>
      </c>
      <c r="G10" s="6">
        <v>3000000</v>
      </c>
    </row>
    <row r="15" ht="24" customHeight="1" spans="2:9" x14ac:dyDescent="0.25">
      <c r="B15" s="7" t="s">
        <v>191</v>
      </c>
      <c r="G15" s="6">
        <f>'Building works'!G965</f>
        <v>126513231.95</v>
      </c>
    </row>
    <row r="20" ht="24" customHeight="1" spans="2:9" x14ac:dyDescent="0.25">
      <c r="B20" s="7" t="s">
        <v>261</v>
      </c>
      <c r="G20" s="6">
        <f>'External works'!G260</f>
        <v>123478500</v>
      </c>
    </row>
    <row r="22" ht="24" customHeight="1" spans="2:9" x14ac:dyDescent="0.25">
      <c r="B22" s="7" t="s">
        <v>272</v>
      </c>
      <c r="G22" s="6">
        <v>0</v>
      </c>
    </row>
    <row r="25" ht="24" customHeight="1" spans="2:9" x14ac:dyDescent="0.25">
      <c r="B25" s="7" t="s">
        <v>273</v>
      </c>
      <c r="G25" s="6">
        <v>0</v>
      </c>
    </row>
    <row r="28" ht="24" customHeight="1" spans="2:9" x14ac:dyDescent="0.25">
      <c r="B28" s="7" t="s">
        <v>274</v>
      </c>
      <c r="G28" s="6">
        <v>0</v>
      </c>
    </row>
    <row r="31" ht="24" customHeight="1" spans="2:9" x14ac:dyDescent="0.25">
      <c r="B31" s="7" t="s">
        <v>275</v>
      </c>
      <c r="G31" s="6">
        <v>0</v>
      </c>
    </row>
    <row r="35" ht="24" customHeight="1" spans="2:9" x14ac:dyDescent="0.25">
      <c r="B35" s="7" t="s">
        <v>276</v>
      </c>
    </row>
    <row r="37" ht="24" customHeight="1" spans="2:9" x14ac:dyDescent="0.25">
      <c r="B37" s="7" t="s">
        <v>277</v>
      </c>
      <c r="G37" s="6">
        <v>8000000</v>
      </c>
    </row>
    <row r="39" ht="24" customHeight="1" spans="2:9" x14ac:dyDescent="0.25">
      <c r="B39" s="7" t="s">
        <v>278</v>
      </c>
      <c r="G39" s="6">
        <f>SUM(G10,G15,G20,G37)</f>
        <v>260991731.95</v>
      </c>
    </row>
    <row r="40" spans="7:7" x14ac:dyDescent="0.25"/>
    <row r="41" ht="24" customHeight="1" spans="2:9" x14ac:dyDescent="0.25">
      <c r="B41" s="7" t="s">
        <v>279</v>
      </c>
      <c r="G41" s="6">
        <f>G39*20%</f>
        <v>52198346.39</v>
      </c>
    </row>
    <row r="42" spans="7:7" x14ac:dyDescent="0.25"/>
    <row r="43" spans="7:7" x14ac:dyDescent="0.25"/>
    <row r="44" spans="7:7" x14ac:dyDescent="0.25"/>
    <row r="45" ht="24" customHeight="1" spans="2:9" x14ac:dyDescent="0.25">
      <c r="B45" s="7" t="s">
        <v>280</v>
      </c>
      <c r="G45" s="6">
        <f>SUM(G39:G44)</f>
        <v>313190078.34</v>
      </c>
    </row>
    <row r="50" ht="32" customHeight="1" spans="2:9" x14ac:dyDescent="0.25">
      <c r="B50" s="7" t="s">
        <v>281</v>
      </c>
    </row>
    <row r="54" ht="32" customHeight="1" spans="2:9" x14ac:dyDescent="0.25">
      <c r="B54" s="7" t="s">
        <v>282</v>
      </c>
    </row>
    <row r="58" ht="24" customHeight="1" spans="2:9" x14ac:dyDescent="0.25">
      <c r="B58" s="7" t="s">
        <v>283</v>
      </c>
    </row>
    <row r="62" ht="24" customHeight="1" spans="2:9" x14ac:dyDescent="0.25">
      <c r="B62" s="7" t="s">
        <v>284</v>
      </c>
    </row>
    <row r="966" spans="9:9" x14ac:dyDescent="0.25"/>
  </sheetData>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7"/>
  <sheetFormatPr defaultRowHeight="15" outlineLevelRow="0" outlineLevelCol="0" x14ac:dyDescent="55"/>
  <cols>
    <col min="1" max="1" width="7" customWidth="1"/>
    <col min="2" max="2" width="80" customWidth="1"/>
    <col min="3" max="3" width="14" customWidth="1"/>
    <col min="4" max="4" width="2" customWidth="1"/>
    <col min="5" max="5" width="10" customWidth="1"/>
    <col min="6" max="6" width="18" customWidth="1"/>
    <col min="7" max="7" width="22" customWidth="1"/>
    <col min="8" max="8" width="18" customWidth="1"/>
    <col min="9" max="9" width="22" customWidth="1"/>
  </cols>
  <sheetData>
    <row r="3" ht="24" customHeight="1" spans="2:2" x14ac:dyDescent="0.25">
      <c r="B3" s="7" t="s">
        <v>285</v>
      </c>
    </row>
    <row r="4" ht="32" customHeight="1" spans="2:2" x14ac:dyDescent="0.25">
      <c r="B4" s="7" t="s">
        <v>286</v>
      </c>
    </row>
    <row r="5" ht="48" customHeight="1" spans="2:2" x14ac:dyDescent="0.25">
      <c r="B5" s="7" t="s">
        <v>287</v>
      </c>
    </row>
    <row r="6" ht="48" customHeight="1" spans="2:2" x14ac:dyDescent="0.25">
      <c r="B6" s="7" t="s">
        <v>288</v>
      </c>
    </row>
    <row r="7" ht="32" customHeight="1" spans="2:2" x14ac:dyDescent="0.25">
      <c r="B7" s="7" t="s">
        <v>289</v>
      </c>
    </row>
    <row r="8" ht="48" customHeight="1" spans="2:2" x14ac:dyDescent="0.25">
      <c r="B8" s="7" t="s">
        <v>290</v>
      </c>
    </row>
    <row r="9" ht="48" customHeight="1" spans="2:2" x14ac:dyDescent="0.25">
      <c r="B9" s="7" t="s">
        <v>291</v>
      </c>
    </row>
    <row r="10" ht="48" customHeight="1" spans="2:2" x14ac:dyDescent="0.25">
      <c r="B10" s="7" t="s">
        <v>292</v>
      </c>
    </row>
    <row r="11" ht="32" customHeight="1" spans="2:2" x14ac:dyDescent="0.25">
      <c r="B11" s="7" t="s">
        <v>293</v>
      </c>
    </row>
    <row r="12" ht="48" customHeight="1" spans="2:2" x14ac:dyDescent="0.25">
      <c r="B12" s="7" t="s">
        <v>294</v>
      </c>
    </row>
    <row r="13" ht="48" customHeight="1" spans="2:2" x14ac:dyDescent="0.25">
      <c r="B13" s="7" t="s">
        <v>295</v>
      </c>
    </row>
    <row r="14" ht="48" customHeight="1" spans="2:2" x14ac:dyDescent="0.25">
      <c r="B14" s="7" t="s">
        <v>296</v>
      </c>
    </row>
    <row r="15" ht="24" customHeight="1" spans="2:2" x14ac:dyDescent="0.25">
      <c r="B15" s="7" t="s">
        <v>267</v>
      </c>
    </row>
    <row r="16" ht="24" customHeight="1" spans="1:5" x14ac:dyDescent="0.25">
      <c r="A16" s="7" t="s">
        <v>297</v>
      </c>
      <c r="B16" s="7" t="s">
        <v>298</v>
      </c>
      <c r="C16" s="8">
        <v>60</v>
      </c>
      <c r="E16" s="9" t="s">
        <v>14</v>
      </c>
    </row>
    <row r="17" ht="32" customHeight="1" spans="1:5" x14ac:dyDescent="0.25">
      <c r="A17" s="7" t="s">
        <v>299</v>
      </c>
      <c r="B17" s="7" t="s">
        <v>300</v>
      </c>
      <c r="C17" s="8">
        <v>144</v>
      </c>
      <c r="E17" s="9" t="s">
        <v>14</v>
      </c>
    </row>
    <row r="18" ht="24" customHeight="1" spans="1:5" x14ac:dyDescent="0.25">
      <c r="A18" s="7" t="s">
        <v>301</v>
      </c>
      <c r="B18" s="7" t="s">
        <v>302</v>
      </c>
      <c r="C18" s="8">
        <v>69.12</v>
      </c>
      <c r="E18" s="9" t="s">
        <v>14</v>
      </c>
    </row>
    <row r="19" ht="32" customHeight="1" spans="1:5" x14ac:dyDescent="0.25">
      <c r="A19" s="7" t="s">
        <v>303</v>
      </c>
      <c r="B19" s="7" t="s">
        <v>304</v>
      </c>
      <c r="C19" s="8">
        <v>125.86</v>
      </c>
      <c r="E19" s="9" t="s">
        <v>14</v>
      </c>
    </row>
    <row r="20" ht="32" customHeight="1" spans="1:5" x14ac:dyDescent="0.25">
      <c r="A20" s="7" t="s">
        <v>305</v>
      </c>
      <c r="B20" s="7" t="s">
        <v>306</v>
      </c>
      <c r="C20" s="8">
        <v>147.26</v>
      </c>
      <c r="E20" s="9" t="s">
        <v>14</v>
      </c>
    </row>
    <row r="21" ht="24" customHeight="1" spans="1:5" x14ac:dyDescent="0.25">
      <c r="A21" s="7" t="s">
        <v>307</v>
      </c>
      <c r="B21" s="7" t="s">
        <v>308</v>
      </c>
      <c r="C21" s="8">
        <v>120</v>
      </c>
      <c r="E21" s="9" t="s">
        <v>14</v>
      </c>
    </row>
    <row r="22" ht="24" customHeight="1" spans="1:5" x14ac:dyDescent="0.25">
      <c r="A22" s="7" t="s">
        <v>309</v>
      </c>
      <c r="B22" s="7" t="s">
        <v>310</v>
      </c>
      <c r="C22" s="8">
        <v>400</v>
      </c>
      <c r="E22" s="9" t="s">
        <v>27</v>
      </c>
    </row>
    <row r="23" ht="24" customHeight="1" spans="1:5" x14ac:dyDescent="0.25">
      <c r="A23" s="7" t="s">
        <v>311</v>
      </c>
      <c r="B23" s="7" t="s">
        <v>312</v>
      </c>
      <c r="C23" s="8">
        <v>8.06</v>
      </c>
      <c r="E23" s="9" t="s">
        <v>14</v>
      </c>
    </row>
    <row r="24" ht="24" customHeight="1" spans="1:5" x14ac:dyDescent="0.25">
      <c r="A24" s="7" t="s">
        <v>313</v>
      </c>
      <c r="B24" s="7" t="s">
        <v>314</v>
      </c>
      <c r="C24" s="8">
        <v>36</v>
      </c>
      <c r="E24" s="9" t="s">
        <v>14</v>
      </c>
    </row>
    <row r="25" ht="24" customHeight="1" spans="1:5" x14ac:dyDescent="0.25">
      <c r="A25" s="7" t="s">
        <v>315</v>
      </c>
      <c r="B25" s="7" t="s">
        <v>316</v>
      </c>
      <c r="C25" s="8">
        <v>14</v>
      </c>
      <c r="E25" s="9" t="s">
        <v>14</v>
      </c>
    </row>
    <row r="26" ht="24" customHeight="1" spans="1:5" x14ac:dyDescent="0.25">
      <c r="A26" s="7" t="s">
        <v>317</v>
      </c>
      <c r="B26" s="7" t="s">
        <v>318</v>
      </c>
      <c r="C26" s="8">
        <v>1.38</v>
      </c>
      <c r="E26" s="9" t="s">
        <v>14</v>
      </c>
    </row>
    <row r="27" ht="24" customHeight="1" spans="1:5" x14ac:dyDescent="0.25">
      <c r="A27" s="7" t="s">
        <v>319</v>
      </c>
      <c r="B27" s="7" t="s">
        <v>320</v>
      </c>
      <c r="C27" s="8">
        <v>60</v>
      </c>
      <c r="E27" s="9" t="s">
        <v>14</v>
      </c>
    </row>
    <row r="28" ht="24" customHeight="1" spans="1:5" x14ac:dyDescent="0.25">
      <c r="A28" s="7" t="s">
        <v>321</v>
      </c>
      <c r="B28" s="7" t="s">
        <v>322</v>
      </c>
      <c r="C28" s="8">
        <v>56</v>
      </c>
      <c r="E28" s="9" t="s">
        <v>27</v>
      </c>
    </row>
    <row r="29" ht="24" customHeight="1" spans="1:5" x14ac:dyDescent="0.25">
      <c r="A29" s="7" t="s">
        <v>323</v>
      </c>
      <c r="B29" s="7" t="s">
        <v>324</v>
      </c>
      <c r="C29" s="8">
        <v>50.92</v>
      </c>
      <c r="E29" s="9" t="s">
        <v>27</v>
      </c>
    </row>
    <row r="30" ht="24" customHeight="1" spans="1:5" x14ac:dyDescent="0.25">
      <c r="A30" s="7" t="s">
        <v>325</v>
      </c>
      <c r="B30" s="7" t="s">
        <v>326</v>
      </c>
      <c r="C30" s="8">
        <v>691.89</v>
      </c>
      <c r="E30" s="9" t="s">
        <v>48</v>
      </c>
    </row>
    <row r="31" ht="24" customHeight="1" spans="2:2" x14ac:dyDescent="0.25">
      <c r="B31" s="7" t="s">
        <v>267</v>
      </c>
    </row>
    <row r="32" ht="24" customHeight="1" spans="1:5" x14ac:dyDescent="0.25">
      <c r="A32" s="7" t="s">
        <v>327</v>
      </c>
      <c r="B32" s="7" t="s">
        <v>328</v>
      </c>
      <c r="C32" s="8">
        <v>691.89</v>
      </c>
      <c r="E32" s="9" t="s">
        <v>48</v>
      </c>
    </row>
    <row r="33" ht="24" customHeight="1" spans="1:5" x14ac:dyDescent="0.25">
      <c r="A33" s="7" t="s">
        <v>329</v>
      </c>
      <c r="B33" s="7" t="s">
        <v>330</v>
      </c>
      <c r="C33" s="8">
        <v>576.58</v>
      </c>
      <c r="E33" s="9" t="s">
        <v>48</v>
      </c>
    </row>
    <row r="34" ht="24" customHeight="1" spans="1:5" x14ac:dyDescent="0.25">
      <c r="A34" s="7" t="s">
        <v>331</v>
      </c>
      <c r="B34" s="7" t="s">
        <v>332</v>
      </c>
      <c r="C34" s="8">
        <v>345.95</v>
      </c>
      <c r="E34" s="9" t="s">
        <v>48</v>
      </c>
    </row>
    <row r="35" ht="24" customHeight="1" spans="1:5" x14ac:dyDescent="0.25">
      <c r="A35" s="7" t="s">
        <v>333</v>
      </c>
      <c r="B35" s="7" t="s">
        <v>334</v>
      </c>
      <c r="C35" s="8">
        <v>400</v>
      </c>
      <c r="E35" s="9" t="s">
        <v>27</v>
      </c>
    </row>
    <row r="36" ht="24" customHeight="1" spans="1:5" x14ac:dyDescent="0.25">
      <c r="A36" s="7" t="s">
        <v>335</v>
      </c>
      <c r="B36" s="7" t="s">
        <v>336</v>
      </c>
      <c r="C36" s="8">
        <v>156</v>
      </c>
      <c r="E36" s="9" t="s">
        <v>27</v>
      </c>
    </row>
    <row r="37" ht="24" customHeight="1" spans="1:5" x14ac:dyDescent="0.25">
      <c r="A37" s="7" t="s">
        <v>337</v>
      </c>
      <c r="B37" s="7" t="s">
        <v>338</v>
      </c>
      <c r="C37" s="8">
        <v>12.7</v>
      </c>
      <c r="E37" s="9" t="s">
        <v>14</v>
      </c>
    </row>
    <row r="38" ht="32" customHeight="1" spans="1:5" x14ac:dyDescent="0.25">
      <c r="A38" s="7" t="s">
        <v>339</v>
      </c>
      <c r="B38" s="7" t="s">
        <v>340</v>
      </c>
      <c r="C38" s="8">
        <v>24.84</v>
      </c>
      <c r="E38" s="9" t="s">
        <v>14</v>
      </c>
    </row>
    <row r="39" ht="24" customHeight="1" spans="1:5" x14ac:dyDescent="0.25">
      <c r="A39" s="7" t="s">
        <v>341</v>
      </c>
      <c r="B39" s="7" t="s">
        <v>342</v>
      </c>
      <c r="C39" s="8">
        <v>16.56</v>
      </c>
      <c r="E39" s="9" t="s">
        <v>14</v>
      </c>
    </row>
    <row r="40" ht="24" customHeight="1" spans="1:5" x14ac:dyDescent="0.25">
      <c r="A40" s="7" t="s">
        <v>343</v>
      </c>
      <c r="B40" s="7" t="s">
        <v>344</v>
      </c>
      <c r="C40" s="8">
        <v>3.3</v>
      </c>
      <c r="E40" s="9" t="s">
        <v>14</v>
      </c>
    </row>
    <row r="41" ht="32" customHeight="1" spans="1:5" x14ac:dyDescent="0.25">
      <c r="A41" s="7" t="s">
        <v>345</v>
      </c>
      <c r="B41" s="7" t="s">
        <v>346</v>
      </c>
      <c r="C41" s="8">
        <v>0</v>
      </c>
      <c r="E41" s="9" t="s">
        <v>14</v>
      </c>
    </row>
    <row r="42" ht="24" customHeight="1" spans="1:5" x14ac:dyDescent="0.25">
      <c r="A42" s="7" t="s">
        <v>347</v>
      </c>
      <c r="B42" s="7" t="s">
        <v>348</v>
      </c>
      <c r="C42" s="8">
        <v>60</v>
      </c>
      <c r="E42" s="9" t="s">
        <v>14</v>
      </c>
    </row>
    <row r="43" ht="24" customHeight="1" spans="1:5" x14ac:dyDescent="0.25">
      <c r="A43" s="7" t="s">
        <v>349</v>
      </c>
      <c r="B43" s="7" t="s">
        <v>350</v>
      </c>
      <c r="C43" s="8">
        <v>220.8</v>
      </c>
      <c r="E43" s="9" t="s">
        <v>27</v>
      </c>
    </row>
    <row r="44" ht="24" customHeight="1" spans="1:5" x14ac:dyDescent="0.25">
      <c r="A44" s="7" t="s">
        <v>351</v>
      </c>
      <c r="B44" s="7" t="s">
        <v>352</v>
      </c>
      <c r="C44" s="8">
        <v>271.2</v>
      </c>
      <c r="E44" s="9" t="s">
        <v>27</v>
      </c>
    </row>
    <row r="45" ht="24" customHeight="1" spans="1:5" x14ac:dyDescent="0.25">
      <c r="A45" s="7" t="s">
        <v>353</v>
      </c>
      <c r="B45" s="7" t="s">
        <v>354</v>
      </c>
      <c r="C45" s="8">
        <v>199.2</v>
      </c>
      <c r="E45" s="9" t="s">
        <v>27</v>
      </c>
    </row>
    <row r="46" ht="24" customHeight="1" spans="1:5" x14ac:dyDescent="0.25">
      <c r="A46" s="7" t="s">
        <v>355</v>
      </c>
      <c r="B46" s="7" t="s">
        <v>356</v>
      </c>
      <c r="C46" s="8">
        <v>0</v>
      </c>
      <c r="E46" s="9" t="s">
        <v>27</v>
      </c>
    </row>
    <row r="47" ht="24" customHeight="1" spans="2:2" x14ac:dyDescent="0.25">
      <c r="B47" s="7" t="s">
        <v>267</v>
      </c>
    </row>
    <row r="48" ht="24" customHeight="1" spans="1:5" x14ac:dyDescent="0.25">
      <c r="A48" s="7" t="s">
        <v>357</v>
      </c>
      <c r="B48" s="7" t="s">
        <v>358</v>
      </c>
      <c r="C48" s="8">
        <v>400</v>
      </c>
      <c r="E48" s="9" t="s">
        <v>27</v>
      </c>
    </row>
    <row r="49" ht="24" customHeight="1" spans="1:5" x14ac:dyDescent="0.25">
      <c r="A49" s="7" t="s">
        <v>359</v>
      </c>
      <c r="B49" s="7" t="s">
        <v>360</v>
      </c>
      <c r="C49" s="8">
        <v>28</v>
      </c>
      <c r="E49" s="9" t="s">
        <v>27</v>
      </c>
    </row>
    <row r="50" ht="32" customHeight="1" spans="1:5" x14ac:dyDescent="0.25">
      <c r="A50" s="7" t="s">
        <v>361</v>
      </c>
      <c r="B50" s="7" t="s">
        <v>362</v>
      </c>
      <c r="C50" s="8">
        <v>6691.57</v>
      </c>
      <c r="E50" s="9" t="s">
        <v>48</v>
      </c>
    </row>
    <row r="51" ht="24" customHeight="1" spans="1:5" x14ac:dyDescent="0.25">
      <c r="A51" s="7" t="s">
        <v>363</v>
      </c>
      <c r="B51" s="7" t="s">
        <v>364</v>
      </c>
      <c r="C51" s="8">
        <v>8922.1</v>
      </c>
      <c r="E51" s="9" t="s">
        <v>48</v>
      </c>
    </row>
    <row r="52" ht="24" customHeight="1" spans="1:5" x14ac:dyDescent="0.25">
      <c r="A52" s="7" t="s">
        <v>365</v>
      </c>
      <c r="B52" s="7" t="s">
        <v>366</v>
      </c>
      <c r="C52" s="8">
        <v>4461.05</v>
      </c>
      <c r="E52" s="9" t="s">
        <v>48</v>
      </c>
    </row>
    <row r="53" ht="24" customHeight="1" spans="1:5" x14ac:dyDescent="0.25">
      <c r="A53" s="7" t="s">
        <v>367</v>
      </c>
      <c r="B53" s="7" t="s">
        <v>368</v>
      </c>
      <c r="C53" s="8">
        <v>2230.52</v>
      </c>
      <c r="E53" s="9" t="s">
        <v>48</v>
      </c>
    </row>
    <row r="54" ht="24" customHeight="1" spans="1:5" x14ac:dyDescent="0.25">
      <c r="A54" s="7" t="s">
        <v>369</v>
      </c>
      <c r="B54" s="7" t="s">
        <v>370</v>
      </c>
      <c r="C54" s="8">
        <v>44.5</v>
      </c>
      <c r="E54" s="9" t="s">
        <v>38</v>
      </c>
    </row>
    <row r="55" ht="24" customHeight="1" spans="1:5" x14ac:dyDescent="0.25">
      <c r="A55" s="7" t="s">
        <v>371</v>
      </c>
      <c r="B55" s="7" t="s">
        <v>372</v>
      </c>
      <c r="C55" s="8">
        <v>90</v>
      </c>
      <c r="E55" s="9" t="s">
        <v>38</v>
      </c>
    </row>
    <row r="56" ht="24" customHeight="1" spans="1:5" x14ac:dyDescent="0.25">
      <c r="A56" s="7" t="s">
        <v>373</v>
      </c>
      <c r="B56" s="7" t="s">
        <v>374</v>
      </c>
      <c r="C56" s="8">
        <v>571.58</v>
      </c>
      <c r="E56" s="9" t="s">
        <v>27</v>
      </c>
    </row>
    <row r="57" ht="24" customHeight="1" spans="1:5" x14ac:dyDescent="0.25">
      <c r="A57" s="7" t="s">
        <v>375</v>
      </c>
      <c r="B57" s="7" t="s">
        <v>376</v>
      </c>
      <c r="C57" s="8">
        <v>55</v>
      </c>
      <c r="E57" s="9" t="s">
        <v>38</v>
      </c>
    </row>
    <row r="58" ht="24" customHeight="1" spans="1:5" x14ac:dyDescent="0.25">
      <c r="A58" s="7" t="s">
        <v>377</v>
      </c>
      <c r="B58" s="7" t="s">
        <v>378</v>
      </c>
      <c r="C58" s="8">
        <v>110</v>
      </c>
      <c r="E58" s="9" t="s">
        <v>38</v>
      </c>
    </row>
    <row r="59" ht="24" customHeight="1" spans="1:5" x14ac:dyDescent="0.25">
      <c r="A59" s="7" t="s">
        <v>379</v>
      </c>
      <c r="B59" s="7" t="s">
        <v>380</v>
      </c>
      <c r="C59" s="8">
        <v>0</v>
      </c>
      <c r="E59" s="9" t="s">
        <v>38</v>
      </c>
    </row>
    <row r="60" ht="24" customHeight="1" spans="1:5" x14ac:dyDescent="0.25">
      <c r="A60" s="7" t="s">
        <v>381</v>
      </c>
      <c r="B60" s="7" t="s">
        <v>382</v>
      </c>
      <c r="C60" s="8">
        <v>103.92</v>
      </c>
      <c r="E60" s="9" t="s">
        <v>38</v>
      </c>
    </row>
    <row r="61" ht="24" customHeight="1" spans="1:5" x14ac:dyDescent="0.25">
      <c r="A61" s="7" t="s">
        <v>383</v>
      </c>
      <c r="B61" s="7" t="s">
        <v>384</v>
      </c>
      <c r="C61" s="8">
        <v>180</v>
      </c>
      <c r="E61" s="9" t="s">
        <v>38</v>
      </c>
    </row>
    <row r="62" ht="24" customHeight="1" spans="1:5" x14ac:dyDescent="0.25">
      <c r="A62" s="7" t="s">
        <v>385</v>
      </c>
      <c r="B62" s="7" t="s">
        <v>386</v>
      </c>
      <c r="C62" s="8">
        <v>1039.23</v>
      </c>
      <c r="E62" s="9" t="s">
        <v>38</v>
      </c>
    </row>
    <row r="63" ht="24" customHeight="1" spans="2:2" x14ac:dyDescent="0.25">
      <c r="B63" s="7" t="s">
        <v>267</v>
      </c>
    </row>
    <row r="64" ht="24" customHeight="1" spans="1:5" x14ac:dyDescent="0.25">
      <c r="A64" s="7" t="s">
        <v>387</v>
      </c>
      <c r="B64" s="7" t="s">
        <v>388</v>
      </c>
      <c r="C64" s="8">
        <v>900</v>
      </c>
      <c r="E64" s="9" t="s">
        <v>38</v>
      </c>
    </row>
    <row r="65" ht="24" customHeight="1" spans="1:5" x14ac:dyDescent="0.25">
      <c r="A65" s="7" t="s">
        <v>389</v>
      </c>
      <c r="B65" s="7" t="s">
        <v>390</v>
      </c>
      <c r="C65" s="8">
        <v>400</v>
      </c>
      <c r="E65" s="9" t="s">
        <v>38</v>
      </c>
    </row>
    <row r="66" ht="24" customHeight="1" spans="1:5" x14ac:dyDescent="0.25">
      <c r="A66" s="7" t="s">
        <v>391</v>
      </c>
      <c r="B66" s="7" t="s">
        <v>392</v>
      </c>
      <c r="C66" s="8">
        <v>550</v>
      </c>
      <c r="E66" s="9" t="s">
        <v>38</v>
      </c>
    </row>
    <row r="67" ht="32" customHeight="1" spans="1:5" x14ac:dyDescent="0.25">
      <c r="A67" s="7" t="s">
        <v>393</v>
      </c>
      <c r="B67" s="7" t="s">
        <v>394</v>
      </c>
      <c r="C67" s="8">
        <v>1416.67</v>
      </c>
      <c r="E67" s="9" t="s">
        <v>38</v>
      </c>
    </row>
    <row r="68" ht="24" customHeight="1" spans="1:5" x14ac:dyDescent="0.25">
      <c r="A68" s="7" t="s">
        <v>395</v>
      </c>
      <c r="B68" s="7" t="s">
        <v>396</v>
      </c>
      <c r="C68" s="8">
        <v>213.92</v>
      </c>
      <c r="E68" s="9" t="s">
        <v>38</v>
      </c>
    </row>
    <row r="69" ht="24" customHeight="1" spans="1:5" x14ac:dyDescent="0.25">
      <c r="A69" s="7" t="s">
        <v>397</v>
      </c>
      <c r="B69" s="7" t="s">
        <v>398</v>
      </c>
      <c r="C69" s="8">
        <v>5</v>
      </c>
      <c r="E69" s="9" t="s">
        <v>109</v>
      </c>
    </row>
    <row r="70" ht="32" customHeight="1" spans="1:5" x14ac:dyDescent="0.25">
      <c r="A70" s="7" t="s">
        <v>399</v>
      </c>
      <c r="B70" s="7" t="s">
        <v>400</v>
      </c>
      <c r="C70" s="8">
        <v>980.11</v>
      </c>
      <c r="E70" s="9" t="s">
        <v>27</v>
      </c>
    </row>
    <row r="71" ht="32" customHeight="1" spans="1:5" x14ac:dyDescent="0.25">
      <c r="A71" s="7" t="s">
        <v>401</v>
      </c>
      <c r="B71" s="7" t="s">
        <v>402</v>
      </c>
      <c r="C71" s="8">
        <v>1119.68</v>
      </c>
      <c r="E71" s="9" t="s">
        <v>27</v>
      </c>
    </row>
    <row r="72" ht="24" customHeight="1" spans="1:5" x14ac:dyDescent="0.25">
      <c r="A72" s="7" t="s">
        <v>403</v>
      </c>
      <c r="B72" s="7" t="s">
        <v>404</v>
      </c>
      <c r="C72" s="8">
        <v>5</v>
      </c>
      <c r="E72" s="9" t="s">
        <v>109</v>
      </c>
    </row>
    <row r="73" ht="24" customHeight="1" spans="1:5" x14ac:dyDescent="0.25">
      <c r="A73" s="7" t="s">
        <v>405</v>
      </c>
      <c r="B73" s="7" t="s">
        <v>406</v>
      </c>
      <c r="C73" s="8">
        <v>10</v>
      </c>
      <c r="E73" s="9" t="s">
        <v>109</v>
      </c>
    </row>
    <row r="74" ht="24" customHeight="1" spans="1:5" x14ac:dyDescent="0.25">
      <c r="A74" s="7" t="s">
        <v>407</v>
      </c>
      <c r="B74" s="7" t="s">
        <v>408</v>
      </c>
      <c r="C74" s="8">
        <v>5</v>
      </c>
      <c r="E74" s="9" t="s">
        <v>109</v>
      </c>
    </row>
    <row r="75" ht="24" customHeight="1" spans="1:5" x14ac:dyDescent="0.25">
      <c r="A75" s="7" t="s">
        <v>409</v>
      </c>
      <c r="B75" s="7" t="s">
        <v>410</v>
      </c>
      <c r="C75" s="8">
        <v>10</v>
      </c>
      <c r="E75" s="9" t="s">
        <v>109</v>
      </c>
    </row>
    <row r="76" ht="24" customHeight="1" spans="1:5" x14ac:dyDescent="0.25">
      <c r="A76" s="7" t="s">
        <v>411</v>
      </c>
      <c r="B76" s="7" t="s">
        <v>412</v>
      </c>
      <c r="C76" s="8">
        <v>5</v>
      </c>
      <c r="E76" s="9" t="s">
        <v>109</v>
      </c>
    </row>
    <row r="77" ht="24" customHeight="1" spans="1:5" x14ac:dyDescent="0.25">
      <c r="A77" s="7" t="s">
        <v>413</v>
      </c>
      <c r="B77" s="7" t="s">
        <v>414</v>
      </c>
      <c r="C77" s="8">
        <v>5</v>
      </c>
      <c r="E77" s="9" t="s">
        <v>109</v>
      </c>
    </row>
    <row r="78" ht="24" customHeight="1" spans="1:5" x14ac:dyDescent="0.25">
      <c r="A78" s="7" t="s">
        <v>415</v>
      </c>
      <c r="B78" s="7" t="s">
        <v>416</v>
      </c>
      <c r="C78" s="8">
        <v>5</v>
      </c>
      <c r="E78" s="9" t="s">
        <v>109</v>
      </c>
    </row>
    <row r="79" ht="24" customHeight="1" spans="2:2" x14ac:dyDescent="0.25">
      <c r="B79" s="7" t="s">
        <v>267</v>
      </c>
    </row>
    <row r="80" ht="32" customHeight="1" spans="1:5" x14ac:dyDescent="0.25">
      <c r="A80" s="7" t="s">
        <v>417</v>
      </c>
      <c r="B80" s="7" t="s">
        <v>418</v>
      </c>
      <c r="C80" s="8">
        <v>5</v>
      </c>
      <c r="E80" s="9" t="s">
        <v>109</v>
      </c>
    </row>
    <row r="81" ht="24" customHeight="1" spans="1:5" x14ac:dyDescent="0.25">
      <c r="A81" s="7" t="s">
        <v>419</v>
      </c>
      <c r="B81" s="7" t="s">
        <v>420</v>
      </c>
      <c r="C81" s="8">
        <v>30</v>
      </c>
      <c r="E81" s="9" t="s">
        <v>109</v>
      </c>
    </row>
    <row r="82" ht="24" customHeight="1" spans="1:5" x14ac:dyDescent="0.25">
      <c r="A82" s="7" t="s">
        <v>421</v>
      </c>
      <c r="B82" s="7" t="s">
        <v>422</v>
      </c>
      <c r="C82" s="8">
        <v>15</v>
      </c>
      <c r="E82" s="9" t="s">
        <v>109</v>
      </c>
    </row>
    <row r="83" ht="24" customHeight="1" spans="1:5" x14ac:dyDescent="0.25">
      <c r="A83" s="7" t="s">
        <v>423</v>
      </c>
      <c r="B83" s="7" t="s">
        <v>424</v>
      </c>
      <c r="C83" s="8">
        <v>160.65</v>
      </c>
      <c r="E83" s="9" t="s">
        <v>27</v>
      </c>
    </row>
    <row r="84" ht="32" customHeight="1" spans="1:5" x14ac:dyDescent="0.25">
      <c r="A84" s="7" t="s">
        <v>425</v>
      </c>
      <c r="B84" s="7" t="s">
        <v>426</v>
      </c>
      <c r="C84" s="8">
        <v>3219.46</v>
      </c>
      <c r="E84" s="9" t="s">
        <v>27</v>
      </c>
    </row>
    <row r="85" ht="24" customHeight="1" spans="1:5" x14ac:dyDescent="0.25">
      <c r="A85" s="7" t="s">
        <v>427</v>
      </c>
      <c r="B85" s="7" t="s">
        <v>428</v>
      </c>
      <c r="C85" s="8">
        <v>400</v>
      </c>
      <c r="E85" s="9" t="s">
        <v>27</v>
      </c>
    </row>
    <row r="86" ht="24" customHeight="1" spans="1:5" x14ac:dyDescent="0.25">
      <c r="A86" s="7" t="s">
        <v>429</v>
      </c>
      <c r="B86" s="7" t="s">
        <v>430</v>
      </c>
      <c r="C86" s="8">
        <v>2969.46</v>
      </c>
      <c r="E86" s="9" t="s">
        <v>27</v>
      </c>
    </row>
    <row r="87" ht="24" customHeight="1" spans="1:5" x14ac:dyDescent="0.25">
      <c r="A87" s="7" t="s">
        <v>431</v>
      </c>
      <c r="B87" s="7" t="s">
        <v>432</v>
      </c>
      <c r="C87" s="8">
        <v>400</v>
      </c>
      <c r="E87" s="9" t="s">
        <v>27</v>
      </c>
    </row>
    <row r="88" ht="24" customHeight="1" spans="1:5" x14ac:dyDescent="0.25">
      <c r="A88" s="7" t="s">
        <v>433</v>
      </c>
      <c r="B88" s="7" t="s">
        <v>434</v>
      </c>
      <c r="C88" s="8">
        <v>2969.46</v>
      </c>
      <c r="E88" s="9" t="s">
        <v>27</v>
      </c>
    </row>
    <row r="89" ht="24" customHeight="1" spans="1:5" x14ac:dyDescent="0.25">
      <c r="A89" s="7" t="s">
        <v>435</v>
      </c>
      <c r="B89" s="7" t="s">
        <v>436</v>
      </c>
      <c r="C89" s="8">
        <v>400</v>
      </c>
      <c r="E89" s="9" t="s">
        <v>27</v>
      </c>
    </row>
    <row r="90" ht="24" customHeight="1" spans="1:5" x14ac:dyDescent="0.25">
      <c r="A90" s="7" t="s">
        <v>437</v>
      </c>
      <c r="B90" s="7" t="s">
        <v>438</v>
      </c>
      <c r="C90" s="8">
        <v>980.11</v>
      </c>
      <c r="E90" s="9" t="s">
        <v>27</v>
      </c>
    </row>
    <row r="91" ht="24" customHeight="1" spans="1:5" x14ac:dyDescent="0.25">
      <c r="A91" s="7" t="s">
        <v>439</v>
      </c>
      <c r="B91" s="7" t="s">
        <v>440</v>
      </c>
      <c r="C91" s="8">
        <v>980.11</v>
      </c>
      <c r="E91" s="9" t="s">
        <v>27</v>
      </c>
    </row>
    <row r="92" ht="24" customHeight="1" spans="1:5" x14ac:dyDescent="0.25">
      <c r="A92" s="7" t="s">
        <v>441</v>
      </c>
      <c r="B92" s="7" t="s">
        <v>442</v>
      </c>
      <c r="C92" s="8">
        <v>250</v>
      </c>
      <c r="E92" s="9" t="s">
        <v>27</v>
      </c>
    </row>
    <row r="93" ht="24" customHeight="1" spans="1:5" x14ac:dyDescent="0.25">
      <c r="A93" s="7" t="s">
        <v>443</v>
      </c>
      <c r="B93" s="7" t="s">
        <v>444</v>
      </c>
      <c r="C93" s="8">
        <v>600</v>
      </c>
      <c r="E93" s="9" t="s">
        <v>27</v>
      </c>
    </row>
    <row r="94" ht="32" customHeight="1" spans="1:5" x14ac:dyDescent="0.25">
      <c r="A94" s="7" t="s">
        <v>445</v>
      </c>
      <c r="B94" s="7" t="s">
        <v>446</v>
      </c>
      <c r="C94" s="8">
        <v>550</v>
      </c>
      <c r="E94" s="9" t="s">
        <v>38</v>
      </c>
    </row>
    <row r="95" ht="24" customHeight="1" spans="2:2" x14ac:dyDescent="0.25">
      <c r="B95" s="7" t="s">
        <v>267</v>
      </c>
    </row>
    <row r="96" ht="32" customHeight="1" spans="1:5" x14ac:dyDescent="0.25">
      <c r="A96" s="7" t="s">
        <v>447</v>
      </c>
      <c r="B96" s="7" t="s">
        <v>448</v>
      </c>
      <c r="C96" s="8">
        <v>85</v>
      </c>
      <c r="E96" s="9" t="s">
        <v>27</v>
      </c>
    </row>
    <row r="97" ht="24" customHeight="1" spans="1:5" x14ac:dyDescent="0.25">
      <c r="A97" s="7" t="s">
        <v>449</v>
      </c>
      <c r="B97" s="7" t="s">
        <v>450</v>
      </c>
      <c r="C97" s="8">
        <v>88</v>
      </c>
      <c r="E97" s="9" t="s">
        <v>38</v>
      </c>
    </row>
    <row r="98" ht="24" customHeight="1" spans="1:5" x14ac:dyDescent="0.25">
      <c r="A98" s="7" t="s">
        <v>451</v>
      </c>
      <c r="B98" s="7" t="s">
        <v>452</v>
      </c>
      <c r="C98" s="8">
        <v>88</v>
      </c>
      <c r="E98" s="9" t="s">
        <v>38</v>
      </c>
    </row>
    <row r="99" ht="24" customHeight="1" spans="1:5" x14ac:dyDescent="0.25">
      <c r="A99" s="7" t="s">
        <v>453</v>
      </c>
      <c r="B99" s="7" t="s">
        <v>454</v>
      </c>
      <c r="C99" s="8">
        <v>150</v>
      </c>
      <c r="E99" s="9" t="s">
        <v>38</v>
      </c>
    </row>
    <row r="100" ht="24" customHeight="1" spans="1:5" x14ac:dyDescent="0.25">
      <c r="A100" s="7" t="s">
        <v>455</v>
      </c>
      <c r="B100" s="7" t="s">
        <v>456</v>
      </c>
      <c r="C100" s="8">
        <v>75</v>
      </c>
      <c r="E100" s="9" t="s">
        <v>27</v>
      </c>
    </row>
    <row r="101" ht="24" customHeight="1" spans="1:5" x14ac:dyDescent="0.25">
      <c r="A101" s="7" t="s">
        <v>457</v>
      </c>
      <c r="B101" s="7" t="s">
        <v>458</v>
      </c>
      <c r="C101" s="8">
        <v>685</v>
      </c>
      <c r="E101" s="9" t="s">
        <v>27</v>
      </c>
    </row>
    <row r="102" ht="24" customHeight="1" spans="1:5" x14ac:dyDescent="0.25">
      <c r="A102" s="7" t="s">
        <v>459</v>
      </c>
      <c r="B102" s="7" t="s">
        <v>460</v>
      </c>
      <c r="C102" s="8">
        <v>250</v>
      </c>
      <c r="E102" s="9" t="s">
        <v>27</v>
      </c>
    </row>
    <row r="103" ht="24" customHeight="1" spans="1:5" x14ac:dyDescent="0.25">
      <c r="A103" s="7" t="s">
        <v>461</v>
      </c>
      <c r="B103" s="7" t="s">
        <v>462</v>
      </c>
      <c r="C103" s="8">
        <v>400</v>
      </c>
      <c r="E103" s="9" t="s">
        <v>27</v>
      </c>
    </row>
    <row r="104" ht="32" customHeight="1" spans="1:5" x14ac:dyDescent="0.25">
      <c r="A104" s="7" t="s">
        <v>463</v>
      </c>
      <c r="B104" s="7" t="s">
        <v>464</v>
      </c>
      <c r="C104" s="8">
        <v>600</v>
      </c>
      <c r="E104" s="9" t="s">
        <v>38</v>
      </c>
    </row>
    <row r="105" ht="24" customHeight="1" spans="1:5" x14ac:dyDescent="0.25">
      <c r="A105" s="7" t="s">
        <v>465</v>
      </c>
      <c r="B105" s="7" t="s">
        <v>466</v>
      </c>
      <c r="C105" s="8">
        <v>400</v>
      </c>
      <c r="E105" s="9" t="s">
        <v>27</v>
      </c>
    </row>
    <row r="106" ht="24" customHeight="1" spans="1:5" x14ac:dyDescent="0.25">
      <c r="A106" s="7" t="s">
        <v>467</v>
      </c>
      <c r="B106" s="7" t="s">
        <v>468</v>
      </c>
      <c r="C106" s="8">
        <v>50</v>
      </c>
      <c r="E106" s="9" t="s">
        <v>27</v>
      </c>
    </row>
    <row r="107" ht="24" customHeight="1" spans="2:2" x14ac:dyDescent="0.25">
      <c r="B107" s="7" t="s">
        <v>267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Building works</vt:lpstr>
      <vt:lpstr>External works</vt:lpstr>
      <vt:lpstr>Summary</vt:lpstr>
      <vt:lpstr>Quantity basis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Aurum Project Controls</dc:creator>
  <dc:title>Sample 2: completed five-dwelling BOQ</dc:title>
  <dc:subject/>
  <dc:description/>
  <cp:keywords/>
  <cp:category/>
  <cp:lastModifiedBy>Unknown</cp:lastModifiedBy>
  <dcterms:created xsi:type="dcterms:W3CDTF">2026-10-10T21:27:41Z</dcterms:created>
  <dcterms:modified xsi:type="dcterms:W3CDTF">2026-10-10T21:27:41Z</dcterms:modified>
</cp:coreProperties>
</file>